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drawings/drawing2.xml" ContentType="application/vnd.openxmlformats-officedocument.drawing+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527"/>
  <workbookPr codeName="ThisWorkbook"/>
  <mc:AlternateContent xmlns:mc="http://schemas.openxmlformats.org/markup-compatibility/2006">
    <mc:Choice Requires="x15">
      <x15ac:absPath xmlns:x15ac="http://schemas.microsoft.com/office/spreadsheetml/2010/11/ac" url="C:\Users\cdLloyd\AppData\Local\Temp\Non-Discharge Application Report (NDAR-1) Form 131014_2089308\"/>
    </mc:Choice>
  </mc:AlternateContent>
  <xr:revisionPtr revIDLastSave="0" documentId="13_ncr:1_{D268A35C-C43B-4A66-9D3F-A4BCF811D8F2}" xr6:coauthVersionLast="47" xr6:coauthVersionMax="47" xr10:uidLastSave="{00000000-0000-0000-0000-000000000000}"/>
  <bookViews>
    <workbookView xWindow="-120" yWindow="-120" windowWidth="29040" windowHeight="15840" xr2:uid="{00000000-000D-0000-FFFF-FFFF00000000}"/>
  </bookViews>
  <sheets>
    <sheet name="Page 1" sheetId="1" r:id="rId1"/>
    <sheet name="Certification Page" sheetId="9" r:id="rId2"/>
    <sheet name="Formulas &amp; Weather Codes" sheetId="7" r:id="rId3"/>
    <sheet name="Dropdown Menu" sheetId="8" state="hidden" r:id="rId4"/>
  </sheets>
  <definedNames>
    <definedName name="County">'Dropdown Menu'!$B$1:$B$101</definedName>
    <definedName name="Flow" localSheetId="1">'Dropdown Menu'!#REF!</definedName>
    <definedName name="Flow">'Dropdown Menu'!#REF!</definedName>
    <definedName name="Month">'Dropdown Menu'!$A$1:$A$13</definedName>
    <definedName name="Parameters" localSheetId="1">'Formulas &amp; Weather Codes'!#REF!</definedName>
    <definedName name="Parameters">'Formulas &amp; Weather Codes'!#REF!</definedName>
    <definedName name="PCS" localSheetId="1">'Formulas &amp; Weather Codes'!#REF!</definedName>
    <definedName name="PCS">'Formulas &amp; Weather Codes'!#REF!</definedName>
    <definedName name="PCSCODE" localSheetId="1">'Formulas &amp; Weather Codes'!#REF!</definedName>
    <definedName name="PCSCODE">'Formulas &amp; Weather Codes'!#REF!</definedName>
    <definedName name="PPI" localSheetId="1">'Dropdown Menu'!#REF!</definedName>
    <definedName name="PPI">'Dropdown Menu'!#REF!</definedName>
    <definedName name="_xlnm.Print_Area" localSheetId="1">'Certification Page'!$A$1:$V$23</definedName>
    <definedName name="_xlnm.Print_Area" localSheetId="0">'Page 1'!$A$1:$V$42</definedName>
    <definedName name="SamplingType" localSheetId="1">'Dropdown Menu'!#REF!</definedName>
    <definedName name="SamplingType">'Dropdown Menu'!#REF!</definedName>
    <definedName name="Weather">'Dropdown Menu'!$D$1:$D$7</definedName>
    <definedName name="Year">'Dropdown Menu'!$C$1:$C$21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41" i="1" l="1"/>
  <c r="S41" i="1"/>
  <c r="Q41" i="1"/>
  <c r="O41" i="1"/>
  <c r="M41" i="1"/>
  <c r="K41" i="1"/>
  <c r="I41" i="1"/>
  <c r="G41"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R40" i="1" l="1"/>
  <c r="R39" i="1"/>
  <c r="R38" i="1"/>
  <c r="R37" i="1"/>
  <c r="R36" i="1"/>
  <c r="R35" i="1"/>
  <c r="R34" i="1"/>
  <c r="R33" i="1"/>
  <c r="R32" i="1"/>
  <c r="R31" i="1"/>
  <c r="R30" i="1"/>
  <c r="R29" i="1"/>
  <c r="R28" i="1"/>
  <c r="R27" i="1"/>
  <c r="R26" i="1"/>
  <c r="R25" i="1"/>
  <c r="R24" i="1"/>
  <c r="R23" i="1"/>
  <c r="R22" i="1"/>
  <c r="R21" i="1"/>
  <c r="R20" i="1"/>
  <c r="R19" i="1"/>
  <c r="R18" i="1"/>
  <c r="R17" i="1"/>
  <c r="R16" i="1"/>
  <c r="R15" i="1"/>
  <c r="R14" i="1"/>
  <c r="R13" i="1"/>
  <c r="R12" i="1"/>
  <c r="R1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Q40" i="1"/>
  <c r="Q39" i="1"/>
  <c r="Q38" i="1"/>
  <c r="Q37" i="1"/>
  <c r="Q36" i="1"/>
  <c r="Q35" i="1"/>
  <c r="Q34" i="1"/>
  <c r="Q33" i="1"/>
  <c r="Q32" i="1"/>
  <c r="Q31" i="1"/>
  <c r="Q30" i="1"/>
  <c r="Q29" i="1"/>
  <c r="Q28" i="1"/>
  <c r="Q27" i="1"/>
  <c r="Q26" i="1"/>
  <c r="Q25" i="1"/>
  <c r="Q24" i="1"/>
  <c r="Q23" i="1"/>
  <c r="Q22" i="1"/>
  <c r="Q21" i="1"/>
  <c r="Q20" i="1"/>
  <c r="Q19" i="1"/>
  <c r="Q18" i="1"/>
  <c r="Q17" i="1"/>
  <c r="Q16" i="1"/>
  <c r="Q15" i="1"/>
  <c r="Q14" i="1"/>
  <c r="Q13" i="1"/>
  <c r="Q12" i="1"/>
  <c r="Q11" i="1"/>
  <c r="Q10" i="1"/>
  <c r="R10" i="1" s="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C3" i="8" l="1"/>
  <c r="C4" i="8" s="1"/>
  <c r="C5" i="8" s="1"/>
  <c r="C6" i="8" s="1"/>
  <c r="C7" i="8" s="1"/>
  <c r="C8" i="8" s="1"/>
  <c r="C9" i="8" s="1"/>
  <c r="C10" i="8" s="1"/>
  <c r="C11" i="8" s="1"/>
  <c r="C12" i="8" s="1"/>
  <c r="C13" i="8" s="1"/>
  <c r="C14" i="8" s="1"/>
  <c r="C15" i="8" s="1"/>
  <c r="C16" i="8" s="1"/>
  <c r="C17" i="8" s="1"/>
  <c r="C18" i="8" s="1"/>
  <c r="C19" i="8" s="1"/>
  <c r="C20" i="8" s="1"/>
  <c r="C21" i="8" s="1"/>
</calcChain>
</file>

<file path=xl/sharedStrings.xml><?xml version="1.0" encoding="utf-8"?>
<sst xmlns="http://schemas.openxmlformats.org/spreadsheetml/2006/main" count="239" uniqueCount="187">
  <si>
    <t>1617 Mail Service Center</t>
  </si>
  <si>
    <t>Date</t>
  </si>
  <si>
    <t>Temperature</t>
  </si>
  <si>
    <t>Facility Name:</t>
  </si>
  <si>
    <t>Month:</t>
  </si>
  <si>
    <t>Year:</t>
  </si>
  <si>
    <t>County:</t>
  </si>
  <si>
    <t>Information Processing Unit</t>
  </si>
  <si>
    <t>Day</t>
  </si>
  <si>
    <t>Operator in Responsible Charge (ORC) Certification</t>
  </si>
  <si>
    <t>Permittee Certification</t>
  </si>
  <si>
    <t>Phone Number:</t>
  </si>
  <si>
    <t>Signature</t>
  </si>
  <si>
    <t>By this signature, I certify that this report is accurrate and complete to the best of my knowledge.</t>
  </si>
  <si>
    <t>I certify, under penalty of law, that this document and all attachments were prepared under my direction or supervision in accordance with a system designed to assure that all qualified personnel properly gathered and evaluated the information submitted. Based on my inquiry of the person or persons who manage the system, or those persons directly responsible for gathering the information, the information submitted is, to the best of my knowledge and belief, true, accurate, and complete. I am aware that there are significant penalties for submitting false information, including the possibility of fines and imprisonment for knowing violations.</t>
  </si>
  <si>
    <t>Raleigh, North Carolina 27699-1617</t>
  </si>
  <si>
    <t>Mail Original and Two Copies to:</t>
  </si>
  <si>
    <t xml:space="preserve">Alamance  </t>
  </si>
  <si>
    <t xml:space="preserve">Alexander  </t>
  </si>
  <si>
    <t xml:space="preserve">Alleghany  </t>
  </si>
  <si>
    <t xml:space="preserve">Anson  </t>
  </si>
  <si>
    <t xml:space="preserve">Ashe  </t>
  </si>
  <si>
    <t xml:space="preserve">Avery  </t>
  </si>
  <si>
    <t xml:space="preserve">Beaufort  </t>
  </si>
  <si>
    <t xml:space="preserve">Bertie  </t>
  </si>
  <si>
    <t xml:space="preserve">Bladen  </t>
  </si>
  <si>
    <t xml:space="preserve">Brunswick  </t>
  </si>
  <si>
    <t xml:space="preserve">Buncombe  </t>
  </si>
  <si>
    <t xml:space="preserve">Burke  </t>
  </si>
  <si>
    <t xml:space="preserve">Cabarrus  </t>
  </si>
  <si>
    <t xml:space="preserve">Caldwell  </t>
  </si>
  <si>
    <t xml:space="preserve">Camden  </t>
  </si>
  <si>
    <t xml:space="preserve">Carteret  </t>
  </si>
  <si>
    <t xml:space="preserve">Caswell  </t>
  </si>
  <si>
    <t xml:space="preserve">Catawba  </t>
  </si>
  <si>
    <t xml:space="preserve">Chatham  </t>
  </si>
  <si>
    <t xml:space="preserve">Cherokee  </t>
  </si>
  <si>
    <t xml:space="preserve">Chowan  </t>
  </si>
  <si>
    <t xml:space="preserve">Clay  </t>
  </si>
  <si>
    <t xml:space="preserve">Cleveland  </t>
  </si>
  <si>
    <t xml:space="preserve">Columbus  </t>
  </si>
  <si>
    <t xml:space="preserve">Craven  </t>
  </si>
  <si>
    <t xml:space="preserve">Cumberland  </t>
  </si>
  <si>
    <t xml:space="preserve">Currituck  </t>
  </si>
  <si>
    <t xml:space="preserve">Dare  </t>
  </si>
  <si>
    <t xml:space="preserve">Davidson  </t>
  </si>
  <si>
    <t xml:space="preserve">Davie  </t>
  </si>
  <si>
    <t xml:space="preserve">Duplin  </t>
  </si>
  <si>
    <t xml:space="preserve">Durham  </t>
  </si>
  <si>
    <t xml:space="preserve">Edgecombe  </t>
  </si>
  <si>
    <t xml:space="preserve">Forsyth  </t>
  </si>
  <si>
    <t xml:space="preserve">Franklin  </t>
  </si>
  <si>
    <t xml:space="preserve">Gaston  </t>
  </si>
  <si>
    <t xml:space="preserve">Gates  </t>
  </si>
  <si>
    <t xml:space="preserve">Graham  </t>
  </si>
  <si>
    <t xml:space="preserve">Granville  </t>
  </si>
  <si>
    <t xml:space="preserve">Greene  </t>
  </si>
  <si>
    <t xml:space="preserve">Guilford  </t>
  </si>
  <si>
    <t xml:space="preserve">Halifax  </t>
  </si>
  <si>
    <t xml:space="preserve">Harnett  </t>
  </si>
  <si>
    <t xml:space="preserve">Haywood  </t>
  </si>
  <si>
    <t xml:space="preserve">Henderson  </t>
  </si>
  <si>
    <t xml:space="preserve">Hertford  </t>
  </si>
  <si>
    <t xml:space="preserve">Hoke  </t>
  </si>
  <si>
    <t xml:space="preserve">Hyde  </t>
  </si>
  <si>
    <t xml:space="preserve">Iredell  </t>
  </si>
  <si>
    <t xml:space="preserve">Jackson  </t>
  </si>
  <si>
    <t xml:space="preserve">Johnston  </t>
  </si>
  <si>
    <t xml:space="preserve">Jones  </t>
  </si>
  <si>
    <t xml:space="preserve">Lee  </t>
  </si>
  <si>
    <t xml:space="preserve">Lenoir  </t>
  </si>
  <si>
    <t xml:space="preserve">Lincoln  </t>
  </si>
  <si>
    <t xml:space="preserve">Macon  </t>
  </si>
  <si>
    <t xml:space="preserve">Madison  </t>
  </si>
  <si>
    <t xml:space="preserve">Martin  </t>
  </si>
  <si>
    <t xml:space="preserve">McDowell  </t>
  </si>
  <si>
    <t xml:space="preserve">Mecklenburg  </t>
  </si>
  <si>
    <t xml:space="preserve">Mitchell  </t>
  </si>
  <si>
    <t xml:space="preserve">Montgomery  </t>
  </si>
  <si>
    <t xml:space="preserve">Moore  </t>
  </si>
  <si>
    <t xml:space="preserve">Nash  </t>
  </si>
  <si>
    <t xml:space="preserve">New Hanover  </t>
  </si>
  <si>
    <t xml:space="preserve">Northampton  </t>
  </si>
  <si>
    <t xml:space="preserve">Onslow  </t>
  </si>
  <si>
    <t xml:space="preserve">Orange  </t>
  </si>
  <si>
    <t xml:space="preserve">Pamlico  </t>
  </si>
  <si>
    <t xml:space="preserve">Pasquotank  </t>
  </si>
  <si>
    <t xml:space="preserve">Pender  </t>
  </si>
  <si>
    <t xml:space="preserve">Perquimans  </t>
  </si>
  <si>
    <t xml:space="preserve">Person  </t>
  </si>
  <si>
    <t xml:space="preserve">Pitt  </t>
  </si>
  <si>
    <t xml:space="preserve">Polk  </t>
  </si>
  <si>
    <t xml:space="preserve">Randolph  </t>
  </si>
  <si>
    <t xml:space="preserve">Richmond  </t>
  </si>
  <si>
    <t xml:space="preserve">Robeson  </t>
  </si>
  <si>
    <t xml:space="preserve">Rockingham  </t>
  </si>
  <si>
    <t xml:space="preserve">Rowan  </t>
  </si>
  <si>
    <t xml:space="preserve">Rutherford  </t>
  </si>
  <si>
    <t xml:space="preserve">Sampson  </t>
  </si>
  <si>
    <t xml:space="preserve">Scotland  </t>
  </si>
  <si>
    <t xml:space="preserve">Stanly  </t>
  </si>
  <si>
    <t xml:space="preserve">Stokes  </t>
  </si>
  <si>
    <t xml:space="preserve">Surry  </t>
  </si>
  <si>
    <t xml:space="preserve">Swain  </t>
  </si>
  <si>
    <t xml:space="preserve">Transylvania  </t>
  </si>
  <si>
    <t xml:space="preserve">Tyrrell  </t>
  </si>
  <si>
    <t xml:space="preserve">Union  </t>
  </si>
  <si>
    <t xml:space="preserve">Vance  </t>
  </si>
  <si>
    <t xml:space="preserve">Wake  </t>
  </si>
  <si>
    <t xml:space="preserve">Warren  </t>
  </si>
  <si>
    <t xml:space="preserve">Washington  </t>
  </si>
  <si>
    <t xml:space="preserve">Watauga  </t>
  </si>
  <si>
    <t xml:space="preserve">Wayne  </t>
  </si>
  <si>
    <t xml:space="preserve">Wilkes  </t>
  </si>
  <si>
    <t xml:space="preserve">Wilson  </t>
  </si>
  <si>
    <t xml:space="preserve">Yadkin  </t>
  </si>
  <si>
    <t xml:space="preserve">Yancey  </t>
  </si>
  <si>
    <t>January</t>
  </si>
  <si>
    <t>February</t>
  </si>
  <si>
    <t>March</t>
  </si>
  <si>
    <t>April</t>
  </si>
  <si>
    <t>May</t>
  </si>
  <si>
    <t>June</t>
  </si>
  <si>
    <t>July</t>
  </si>
  <si>
    <t>August</t>
  </si>
  <si>
    <t>September</t>
  </si>
  <si>
    <t>October</t>
  </si>
  <si>
    <t>November</t>
  </si>
  <si>
    <t>December</t>
  </si>
  <si>
    <t>If the facility is non-compliant, please explain in the space below the reason(s) the facility was not in compliance.  Provide in your explanation the date(s) of the non-compliance and describe the corrective action(s) taken. Attach additional sheets if necessary.</t>
  </si>
  <si>
    <t xml:space="preserve"> Permittee:</t>
  </si>
  <si>
    <t xml:space="preserve"> Signing Official:</t>
  </si>
  <si>
    <t xml:space="preserve"> Signing Official's Title:</t>
  </si>
  <si>
    <t xml:space="preserve"> Phone Number:</t>
  </si>
  <si>
    <t xml:space="preserve"> ORC:</t>
  </si>
  <si>
    <t xml:space="preserve"> Certification No.:</t>
  </si>
  <si>
    <t xml:space="preserve"> Grade:</t>
  </si>
  <si>
    <t>ft</t>
  </si>
  <si>
    <t>Weather Code</t>
  </si>
  <si>
    <t>Precipitation</t>
  </si>
  <si>
    <t>in</t>
  </si>
  <si>
    <r>
      <rPr>
        <b/>
        <sz val="10"/>
        <rFont val="Trebuchet MS"/>
        <family val="2"/>
      </rPr>
      <t>º</t>
    </r>
    <r>
      <rPr>
        <b/>
        <sz val="8"/>
        <rFont val="Arial"/>
        <family val="2"/>
      </rPr>
      <t>F</t>
    </r>
  </si>
  <si>
    <t>Field Name:</t>
  </si>
  <si>
    <t>Area (acres):</t>
  </si>
  <si>
    <t>Cover Crop:</t>
  </si>
  <si>
    <t>Volume Applied</t>
  </si>
  <si>
    <t>min</t>
  </si>
  <si>
    <t>Daily   Loading</t>
  </si>
  <si>
    <t>gal</t>
  </si>
  <si>
    <t>Maximum Hourly Loading</t>
  </si>
  <si>
    <t>Hourly Rate (in):</t>
  </si>
  <si>
    <t>Annual Rate (in):</t>
  </si>
  <si>
    <t>Field Irrigated?</t>
  </si>
  <si>
    <t>12 Month Floating Total (in):</t>
  </si>
  <si>
    <t>Monthly Loading:</t>
  </si>
  <si>
    <t>Permit Exp.:</t>
  </si>
  <si>
    <t xml:space="preserve"> Has the ORC changed since the previous NDAR-1?</t>
  </si>
  <si>
    <t>Clear</t>
  </si>
  <si>
    <t>Cloudy</t>
  </si>
  <si>
    <t>C</t>
  </si>
  <si>
    <t>CL</t>
  </si>
  <si>
    <t>PC</t>
  </si>
  <si>
    <t>R</t>
  </si>
  <si>
    <t>SN</t>
  </si>
  <si>
    <t>SL</t>
  </si>
  <si>
    <t>Did the application rates exceed the limits in Attachment B of your permit?</t>
  </si>
  <si>
    <t>Were adequate measures taken to prevent effluent ponding in or runoff from the sites?</t>
  </si>
  <si>
    <t>Was a suitable vegetative cover maintained on all sites as specified in your permit?</t>
  </si>
  <si>
    <t>Were all setbacks listed in your permit maintained for every application to each permitted site?</t>
  </si>
  <si>
    <t>Were all freeboards maintained in accordance with the specified freeboard heights in your permit?</t>
  </si>
  <si>
    <t>Weather Codes</t>
  </si>
  <si>
    <t>Partly Cloudy</t>
  </si>
  <si>
    <t>Rain</t>
  </si>
  <si>
    <t>Sleet</t>
  </si>
  <si>
    <t>Snow</t>
  </si>
  <si>
    <t>Time    Irrigated</t>
  </si>
  <si>
    <t>Did irrigation occur    at this facility?</t>
  </si>
  <si>
    <t>Time   Irrigated</t>
  </si>
  <si>
    <t>Formulas</t>
  </si>
  <si>
    <t>If Time Irrigated is &lt; 60 minutes:</t>
  </si>
  <si>
    <t>If Time Irrigated is ≥ 60 minutes:</t>
  </si>
  <si>
    <t xml:space="preserve"> Permit No.:</t>
  </si>
  <si>
    <t>Freeboard</t>
  </si>
  <si>
    <t>Weather</t>
  </si>
  <si>
    <t>Storage</t>
  </si>
  <si>
    <t>5-Day Upset (if applicable)</t>
  </si>
  <si>
    <t>Division of Water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</si>
</sst>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hh:mm"/>
    <numFmt numFmtId="166" formatCode="m/d/yy;@"/>
  </numFmts>
  <fonts count="17" x14ac:knownFonts="1">
    <font>
      <sz val="10"/>
      <name val="Arial"/>
    </font>
    <font>
      <sz val="8"/>
      <name val="Arial"/>
      <family val="2"/>
    </font>
    <font>
      <b/>
      <sz val="14"/>
      <name val="Arial"/>
      <family val="2"/>
    </font>
    <font>
      <sz val="10"/>
      <name val="Arial"/>
      <family val="2"/>
    </font>
    <font>
      <b/>
      <sz val="10"/>
      <name val="Arial"/>
      <family val="2"/>
    </font>
    <font>
      <sz val="12"/>
      <name val="Arial"/>
      <family val="2"/>
    </font>
    <font>
      <b/>
      <sz val="11"/>
      <name val="Arial"/>
      <family val="2"/>
    </font>
    <font>
      <sz val="8"/>
      <name val="Trebuchet MS"/>
      <family val="2"/>
    </font>
    <font>
      <sz val="8"/>
      <name val="Times New Roman"/>
      <family val="1"/>
    </font>
    <font>
      <b/>
      <sz val="10"/>
      <name val="Trebuchet MS"/>
      <family val="2"/>
    </font>
    <font>
      <b/>
      <sz val="8"/>
      <name val="Arial"/>
      <family val="2"/>
    </font>
    <font>
      <sz val="16"/>
      <name val="Arial"/>
      <family val="2"/>
    </font>
    <font>
      <b/>
      <sz val="16"/>
      <name val="Arial"/>
      <family val="2"/>
    </font>
    <font>
      <sz val="11"/>
      <name val="Calibri"/>
      <family val="2"/>
    </font>
    <font>
      <b/>
      <sz val="12"/>
      <name val="Trebuchet MS"/>
      <family val="2"/>
    </font>
    <font>
      <sz val="10"/>
      <name val="Trebuchet MS"/>
      <family val="2"/>
    </font>
    <font>
      <sz val="8"/>
      <color rgb="FF000000"/>
      <name val="Tahoma"/>
      <family val="2"/>
    </font>
  </fonts>
  <fills count="6">
    <fill>
      <patternFill patternType="none"/>
    </fill>
    <fill>
      <patternFill patternType="gray125"/>
    </fill>
    <fill>
      <patternFill patternType="solid">
        <fgColor theme="0"/>
        <bgColor indexed="64"/>
      </patternFill>
    </fill>
    <fill>
      <patternFill patternType="solid">
        <fgColor theme="0" tint="-0.249977111117893"/>
        <bgColor indexed="64"/>
      </patternFill>
    </fill>
    <fill>
      <patternFill patternType="darkUp">
        <bgColor theme="0" tint="-0.249977111117893"/>
      </patternFill>
    </fill>
    <fill>
      <patternFill patternType="darkUp">
        <bgColor theme="0"/>
      </patternFill>
    </fill>
  </fills>
  <borders count="83">
    <border>
      <left/>
      <right/>
      <top/>
      <bottom/>
      <diagonal/>
    </border>
    <border>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right/>
      <top style="thin">
        <color indexed="64"/>
      </top>
      <bottom/>
      <diagonal/>
    </border>
    <border>
      <left style="thin">
        <color indexed="64"/>
      </left>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right/>
      <top style="medium">
        <color indexed="64"/>
      </top>
      <bottom/>
      <diagonal/>
    </border>
    <border>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top/>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style="thin">
        <color indexed="64"/>
      </bottom>
      <diagonal/>
    </border>
    <border>
      <left/>
      <right style="medium">
        <color indexed="64"/>
      </right>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double">
        <color auto="1"/>
      </left>
      <right/>
      <top/>
      <bottom/>
      <diagonal/>
    </border>
    <border>
      <left/>
      <right style="double">
        <color auto="1"/>
      </right>
      <top/>
      <bottom/>
      <diagonal/>
    </border>
    <border>
      <left/>
      <right style="double">
        <color indexed="64"/>
      </right>
      <top style="medium">
        <color indexed="64"/>
      </top>
      <bottom/>
      <diagonal/>
    </border>
    <border>
      <left/>
      <right style="double">
        <color indexed="64"/>
      </right>
      <top/>
      <bottom style="thin">
        <color indexed="64"/>
      </bottom>
      <diagonal/>
    </border>
    <border>
      <left/>
      <right style="double">
        <color indexed="64"/>
      </right>
      <top style="thin">
        <color indexed="64"/>
      </top>
      <bottom/>
      <diagonal/>
    </border>
    <border>
      <left/>
      <right style="double">
        <color indexed="64"/>
      </right>
      <top/>
      <bottom style="medium">
        <color indexed="64"/>
      </bottom>
      <diagonal/>
    </border>
    <border>
      <left style="double">
        <color indexed="64"/>
      </left>
      <right/>
      <top style="medium">
        <color indexed="64"/>
      </top>
      <bottom style="medium">
        <color indexed="64"/>
      </bottom>
      <diagonal/>
    </border>
    <border>
      <left style="double">
        <color indexed="64"/>
      </left>
      <right/>
      <top/>
      <bottom style="medium">
        <color indexed="64"/>
      </bottom>
      <diagonal/>
    </border>
    <border>
      <left style="double">
        <color indexed="64"/>
      </left>
      <right/>
      <top style="medium">
        <color indexed="64"/>
      </top>
      <bottom/>
      <diagonal/>
    </border>
    <border>
      <left/>
      <right style="thin">
        <color indexed="64"/>
      </right>
      <top/>
      <bottom style="thin">
        <color indexed="64"/>
      </bottom>
      <diagonal/>
    </border>
    <border>
      <left style="medium">
        <color indexed="64"/>
      </left>
      <right style="thin">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bottom style="thin">
        <color indexed="64"/>
      </bottom>
      <diagonal/>
    </border>
    <border>
      <left style="thin">
        <color indexed="64"/>
      </left>
      <right/>
      <top style="thin">
        <color indexed="64"/>
      </top>
      <bottom/>
      <diagonal/>
    </border>
    <border>
      <left/>
      <right style="double">
        <color indexed="64"/>
      </right>
      <top style="medium">
        <color indexed="64"/>
      </top>
      <bottom style="medium">
        <color indexed="64"/>
      </bottom>
      <diagonal/>
    </border>
    <border>
      <left style="double">
        <color auto="1"/>
      </left>
      <right/>
      <top/>
      <bottom style="thin">
        <color indexed="64"/>
      </bottom>
      <diagonal/>
    </border>
    <border>
      <left style="double">
        <color indexed="64"/>
      </left>
      <right/>
      <top style="thin">
        <color indexed="64"/>
      </top>
      <bottom/>
      <diagonal/>
    </border>
    <border>
      <left/>
      <right style="medium">
        <color indexed="64"/>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style="thin">
        <color indexed="64"/>
      </right>
      <top/>
      <bottom style="thin">
        <color indexed="64"/>
      </bottom>
      <diagonal/>
    </border>
    <border>
      <left style="thin">
        <color indexed="64"/>
      </left>
      <right style="double">
        <color indexed="64"/>
      </right>
      <top/>
      <bottom style="thin">
        <color indexed="64"/>
      </bottom>
      <diagonal/>
    </border>
    <border>
      <left style="double">
        <color indexed="64"/>
      </left>
      <right style="thin">
        <color indexed="64"/>
      </right>
      <top style="medium">
        <color indexed="64"/>
      </top>
      <bottom style="thin">
        <color indexed="64"/>
      </bottom>
      <diagonal/>
    </border>
    <border>
      <left style="thin">
        <color indexed="64"/>
      </left>
      <right style="double">
        <color indexed="64"/>
      </right>
      <top style="medium">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double">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double">
        <color indexed="64"/>
      </left>
      <right/>
      <top style="thin">
        <color indexed="64"/>
      </top>
      <bottom style="medium">
        <color indexed="64"/>
      </bottom>
      <diagonal/>
    </border>
    <border>
      <left style="double">
        <color indexed="64"/>
      </left>
      <right style="thin">
        <color indexed="64"/>
      </right>
      <top style="medium">
        <color indexed="64"/>
      </top>
      <bottom/>
      <diagonal/>
    </border>
    <border>
      <left style="thin">
        <color indexed="64"/>
      </left>
      <right style="thin">
        <color indexed="64"/>
      </right>
      <top/>
      <bottom/>
      <diagonal/>
    </border>
    <border>
      <left style="thin">
        <color indexed="64"/>
      </left>
      <right style="double">
        <color indexed="64"/>
      </right>
      <top/>
      <bottom/>
      <diagonal/>
    </border>
    <border>
      <left style="thin">
        <color indexed="64"/>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s>
  <cellStyleXfs count="1">
    <xf numFmtId="0" fontId="0" fillId="0" borderId="0"/>
  </cellStyleXfs>
  <cellXfs count="245">
    <xf numFmtId="0" fontId="0" fillId="0" borderId="0" xfId="0"/>
    <xf numFmtId="0" fontId="3" fillId="0" borderId="0" xfId="0" applyFont="1" applyProtection="1"/>
    <xf numFmtId="0" fontId="3" fillId="0" borderId="0" xfId="0" applyFont="1" applyAlignment="1" applyProtection="1">
      <alignment horizontal="left"/>
    </xf>
    <xf numFmtId="0" fontId="3" fillId="2" borderId="7" xfId="0" applyNumberFormat="1" applyFont="1" applyFill="1" applyBorder="1" applyAlignment="1" applyProtection="1">
      <alignment horizontal="center" vertical="center"/>
      <protection locked="0"/>
    </xf>
    <xf numFmtId="0" fontId="8" fillId="0" borderId="0" xfId="0" applyFont="1" applyAlignment="1">
      <alignment horizontal="center"/>
    </xf>
    <xf numFmtId="0" fontId="4" fillId="2" borderId="22" xfId="0" applyFont="1" applyFill="1" applyBorder="1" applyAlignment="1" applyProtection="1">
      <alignment horizontal="center" vertical="center"/>
    </xf>
    <xf numFmtId="0" fontId="3" fillId="0" borderId="0" xfId="0" applyFont="1" applyAlignment="1" applyProtection="1">
      <alignment vertical="center"/>
    </xf>
    <xf numFmtId="164" fontId="4" fillId="2" borderId="18" xfId="0" applyNumberFormat="1" applyFont="1" applyFill="1" applyBorder="1" applyAlignment="1" applyProtection="1">
      <alignment horizontal="center" vertical="center"/>
    </xf>
    <xf numFmtId="164" fontId="4" fillId="2" borderId="4" xfId="0" applyNumberFormat="1" applyFont="1" applyFill="1" applyBorder="1" applyAlignment="1" applyProtection="1">
      <alignment horizontal="center" vertical="center"/>
    </xf>
    <xf numFmtId="164" fontId="4" fillId="3" borderId="18" xfId="0" applyNumberFormat="1" applyFont="1" applyFill="1" applyBorder="1" applyAlignment="1" applyProtection="1">
      <alignment horizontal="center" vertical="center"/>
    </xf>
    <xf numFmtId="164" fontId="4" fillId="2" borderId="18" xfId="0" applyNumberFormat="1" applyFont="1" applyFill="1" applyBorder="1" applyAlignment="1" applyProtection="1">
      <alignment horizontal="center" vertical="center" textRotation="90" wrapText="1"/>
    </xf>
    <xf numFmtId="164" fontId="4" fillId="3" borderId="18" xfId="0" applyNumberFormat="1" applyFont="1" applyFill="1" applyBorder="1" applyAlignment="1" applyProtection="1">
      <alignment horizontal="center" vertical="center" textRotation="90" wrapText="1"/>
    </xf>
    <xf numFmtId="0" fontId="3" fillId="2" borderId="3" xfId="0" applyNumberFormat="1" applyFont="1" applyFill="1" applyBorder="1" applyAlignment="1" applyProtection="1">
      <alignment horizontal="center" vertical="center"/>
      <protection locked="0"/>
    </xf>
    <xf numFmtId="0" fontId="3" fillId="3" borderId="7" xfId="0" applyNumberFormat="1" applyFont="1" applyFill="1" applyBorder="1" applyAlignment="1" applyProtection="1">
      <alignment horizontal="center" vertical="center"/>
      <protection locked="0"/>
    </xf>
    <xf numFmtId="0" fontId="4" fillId="2" borderId="33" xfId="0" applyFont="1" applyFill="1" applyBorder="1" applyAlignment="1" applyProtection="1">
      <alignment horizontal="center" vertical="center"/>
    </xf>
    <xf numFmtId="0" fontId="4" fillId="2" borderId="19" xfId="0" applyFont="1" applyFill="1" applyBorder="1" applyAlignment="1" applyProtection="1">
      <alignment horizontal="center" vertical="center" textRotation="90" wrapText="1"/>
    </xf>
    <xf numFmtId="0" fontId="4" fillId="2" borderId="15" xfId="0" applyFont="1" applyFill="1" applyBorder="1" applyAlignment="1" applyProtection="1">
      <alignment horizontal="center" vertical="center" textRotation="90" wrapText="1"/>
    </xf>
    <xf numFmtId="165" fontId="3" fillId="2" borderId="16" xfId="0" applyNumberFormat="1" applyFont="1" applyFill="1" applyBorder="1" applyAlignment="1" applyProtection="1">
      <alignment horizontal="center" vertical="center"/>
      <protection locked="0"/>
    </xf>
    <xf numFmtId="0" fontId="3" fillId="2" borderId="18" xfId="0" applyNumberFormat="1" applyFont="1" applyFill="1" applyBorder="1" applyAlignment="1" applyProtection="1">
      <alignment horizontal="center" vertical="center"/>
      <protection locked="0"/>
    </xf>
    <xf numFmtId="0" fontId="4" fillId="2" borderId="3" xfId="0" applyFont="1" applyFill="1" applyBorder="1" applyAlignment="1" applyProtection="1">
      <alignment horizontal="center" vertical="center"/>
    </xf>
    <xf numFmtId="0" fontId="4" fillId="2" borderId="6" xfId="0" applyFont="1" applyFill="1" applyBorder="1" applyAlignment="1" applyProtection="1">
      <alignment horizontal="left" vertical="center"/>
      <protection locked="0"/>
    </xf>
    <xf numFmtId="0" fontId="3" fillId="3" borderId="19" xfId="0" applyNumberFormat="1" applyFont="1" applyFill="1" applyBorder="1" applyAlignment="1" applyProtection="1">
      <alignment horizontal="center" vertical="center"/>
      <protection locked="0"/>
    </xf>
    <xf numFmtId="0" fontId="3" fillId="3" borderId="3" xfId="0" applyNumberFormat="1" applyFont="1" applyFill="1" applyBorder="1" applyAlignment="1" applyProtection="1">
      <alignment horizontal="center" vertical="center"/>
      <protection locked="0"/>
    </xf>
    <xf numFmtId="0" fontId="3" fillId="2" borderId="9" xfId="0" applyNumberFormat="1" applyFont="1" applyFill="1" applyBorder="1" applyAlignment="1" applyProtection="1">
      <alignment horizontal="center" vertical="center"/>
      <protection locked="0"/>
    </xf>
    <xf numFmtId="0" fontId="3" fillId="2" borderId="10" xfId="0" applyNumberFormat="1" applyFont="1" applyFill="1" applyBorder="1" applyAlignment="1" applyProtection="1">
      <alignment horizontal="center" vertical="center"/>
      <protection locked="0"/>
    </xf>
    <xf numFmtId="0" fontId="3" fillId="2" borderId="14" xfId="0" applyNumberFormat="1" applyFont="1" applyFill="1" applyBorder="1" applyAlignment="1" applyProtection="1">
      <alignment horizontal="center" vertical="center"/>
      <protection locked="0"/>
    </xf>
    <xf numFmtId="0" fontId="4" fillId="3" borderId="6" xfId="0" applyFont="1" applyFill="1" applyBorder="1" applyAlignment="1" applyProtection="1">
      <alignment horizontal="left" vertical="center"/>
      <protection locked="0"/>
    </xf>
    <xf numFmtId="0" fontId="3" fillId="0" borderId="0" xfId="0" applyFont="1" applyAlignment="1" applyProtection="1"/>
    <xf numFmtId="164" fontId="4" fillId="3" borderId="57" xfId="0" applyNumberFormat="1" applyFont="1" applyFill="1" applyBorder="1" applyAlignment="1" applyProtection="1">
      <alignment horizontal="center" vertical="center" textRotation="90" wrapText="1"/>
    </xf>
    <xf numFmtId="164" fontId="4" fillId="3" borderId="58" xfId="0" applyNumberFormat="1" applyFont="1" applyFill="1" applyBorder="1" applyAlignment="1" applyProtection="1">
      <alignment horizontal="center" vertical="center" textRotation="90" wrapText="1"/>
    </xf>
    <xf numFmtId="164" fontId="4" fillId="3" borderId="57" xfId="0" applyNumberFormat="1" applyFont="1" applyFill="1" applyBorder="1" applyAlignment="1" applyProtection="1">
      <alignment horizontal="center" vertical="center"/>
    </xf>
    <xf numFmtId="164" fontId="4" fillId="3" borderId="58" xfId="0" applyNumberFormat="1" applyFont="1" applyFill="1" applyBorder="1" applyAlignment="1" applyProtection="1">
      <alignment horizontal="center" vertical="center"/>
    </xf>
    <xf numFmtId="164" fontId="4" fillId="2" borderId="57" xfId="0" applyNumberFormat="1" applyFont="1" applyFill="1" applyBorder="1" applyAlignment="1" applyProtection="1">
      <alignment horizontal="center" vertical="center" textRotation="90" wrapText="1"/>
    </xf>
    <xf numFmtId="164" fontId="4" fillId="2" borderId="58" xfId="0" applyNumberFormat="1" applyFont="1" applyFill="1" applyBorder="1" applyAlignment="1" applyProtection="1">
      <alignment horizontal="center" vertical="center" textRotation="90" wrapText="1"/>
    </xf>
    <xf numFmtId="164" fontId="4" fillId="2" borderId="57" xfId="0" applyNumberFormat="1" applyFont="1" applyFill="1" applyBorder="1" applyAlignment="1" applyProtection="1">
      <alignment horizontal="center" vertical="center"/>
    </xf>
    <xf numFmtId="164" fontId="4" fillId="2" borderId="58" xfId="0" applyNumberFormat="1" applyFont="1" applyFill="1" applyBorder="1" applyAlignment="1" applyProtection="1">
      <alignment horizontal="center" vertical="center"/>
    </xf>
    <xf numFmtId="164" fontId="4" fillId="2" borderId="48" xfId="0" applyNumberFormat="1" applyFont="1" applyFill="1" applyBorder="1" applyAlignment="1" applyProtection="1">
      <alignment horizontal="center" vertical="center" textRotation="90" wrapText="1"/>
    </xf>
    <xf numFmtId="4" fontId="3" fillId="4" borderId="9" xfId="0" applyNumberFormat="1" applyFont="1" applyFill="1" applyBorder="1" applyAlignment="1" applyProtection="1">
      <alignment horizontal="center" vertical="center"/>
    </xf>
    <xf numFmtId="4" fontId="3" fillId="4" borderId="60" xfId="0" applyNumberFormat="1" applyFont="1" applyFill="1" applyBorder="1" applyAlignment="1" applyProtection="1">
      <alignment horizontal="center" vertical="center"/>
    </xf>
    <xf numFmtId="4" fontId="3" fillId="5" borderId="9" xfId="0" applyNumberFormat="1" applyFont="1" applyFill="1" applyBorder="1" applyAlignment="1" applyProtection="1">
      <alignment horizontal="center" vertical="center"/>
    </xf>
    <xf numFmtId="4" fontId="3" fillId="5" borderId="60" xfId="0" applyNumberFormat="1" applyFont="1" applyFill="1" applyBorder="1" applyAlignment="1" applyProtection="1">
      <alignment horizontal="center" vertical="center"/>
    </xf>
    <xf numFmtId="0" fontId="3" fillId="5" borderId="48" xfId="0" applyFont="1" applyFill="1" applyBorder="1" applyProtection="1"/>
    <xf numFmtId="164" fontId="4" fillId="2" borderId="3" xfId="0" applyNumberFormat="1" applyFont="1" applyFill="1" applyBorder="1" applyAlignment="1" applyProtection="1">
      <alignment horizontal="center" vertical="center"/>
    </xf>
    <xf numFmtId="0" fontId="4" fillId="2" borderId="33" xfId="0" applyFont="1" applyFill="1" applyBorder="1" applyAlignment="1" applyProtection="1">
      <alignment horizontal="right" vertical="center"/>
    </xf>
    <xf numFmtId="0" fontId="5" fillId="2" borderId="35" xfId="0" applyFont="1" applyFill="1" applyBorder="1" applyAlignment="1" applyProtection="1">
      <alignment horizontal="center" vertical="center"/>
      <protection locked="0"/>
    </xf>
    <xf numFmtId="0" fontId="0" fillId="3" borderId="56" xfId="0" applyFill="1" applyBorder="1" applyAlignment="1" applyProtection="1">
      <alignment horizontal="left" vertical="center"/>
      <protection locked="0"/>
    </xf>
    <xf numFmtId="0" fontId="0" fillId="2" borderId="56" xfId="0" applyFill="1" applyBorder="1" applyAlignment="1" applyProtection="1">
      <alignment horizontal="left" vertical="center"/>
      <protection locked="0"/>
    </xf>
    <xf numFmtId="0" fontId="0" fillId="2" borderId="11" xfId="0" applyFill="1" applyBorder="1" applyAlignment="1" applyProtection="1">
      <alignment horizontal="left" vertical="center"/>
      <protection locked="0"/>
    </xf>
    <xf numFmtId="0" fontId="3" fillId="2" borderId="48" xfId="0" applyNumberFormat="1" applyFont="1" applyFill="1" applyBorder="1" applyAlignment="1" applyProtection="1">
      <alignment horizontal="center" vertical="center"/>
      <protection locked="0"/>
    </xf>
    <xf numFmtId="0" fontId="3" fillId="2" borderId="17" xfId="0" applyNumberFormat="1" applyFont="1" applyFill="1" applyBorder="1" applyAlignment="1" applyProtection="1">
      <alignment horizontal="center" vertical="center"/>
      <protection locked="0"/>
    </xf>
    <xf numFmtId="0" fontId="3" fillId="2" borderId="4" xfId="0" applyNumberFormat="1" applyFont="1" applyFill="1" applyBorder="1" applyAlignment="1" applyProtection="1">
      <alignment horizontal="center" vertical="center"/>
      <protection locked="0"/>
    </xf>
    <xf numFmtId="3" fontId="3" fillId="3" borderId="59" xfId="0" applyNumberFormat="1" applyFont="1" applyFill="1" applyBorder="1" applyAlignment="1" applyProtection="1">
      <alignment horizontal="center" vertical="center"/>
      <protection locked="0"/>
    </xf>
    <xf numFmtId="3" fontId="3" fillId="3" borderId="61" xfId="0" applyNumberFormat="1" applyFont="1" applyFill="1" applyBorder="1" applyAlignment="1" applyProtection="1">
      <alignment horizontal="center" vertical="center"/>
      <protection locked="0"/>
    </xf>
    <xf numFmtId="3" fontId="3" fillId="3" borderId="63" xfId="0" applyNumberFormat="1" applyFont="1" applyFill="1" applyBorder="1" applyAlignment="1" applyProtection="1">
      <alignment horizontal="center" vertical="center"/>
      <protection locked="0"/>
    </xf>
    <xf numFmtId="3" fontId="3" fillId="3" borderId="54" xfId="0" applyNumberFormat="1" applyFont="1" applyFill="1" applyBorder="1" applyAlignment="1" applyProtection="1">
      <alignment horizontal="center" vertical="center"/>
    </xf>
    <xf numFmtId="2" fontId="3" fillId="3" borderId="66" xfId="0" applyNumberFormat="1" applyFont="1" applyFill="1" applyBorder="1" applyAlignment="1" applyProtection="1">
      <alignment horizontal="center" vertical="center"/>
    </xf>
    <xf numFmtId="2" fontId="3" fillId="3" borderId="7" xfId="0" applyNumberFormat="1" applyFont="1" applyFill="1" applyBorder="1" applyAlignment="1" applyProtection="1">
      <alignment horizontal="center" vertical="center"/>
    </xf>
    <xf numFmtId="2" fontId="3" fillId="3" borderId="18" xfId="0" applyNumberFormat="1" applyFont="1" applyFill="1" applyBorder="1" applyAlignment="1" applyProtection="1">
      <alignment horizontal="center" vertical="center"/>
    </xf>
    <xf numFmtId="2" fontId="3" fillId="3" borderId="19" xfId="0" applyNumberFormat="1" applyFont="1" applyFill="1" applyBorder="1" applyAlignment="1" applyProtection="1">
      <alignment horizontal="center" vertical="center"/>
    </xf>
    <xf numFmtId="3" fontId="3" fillId="2" borderId="59" xfId="0" applyNumberFormat="1" applyFont="1" applyFill="1" applyBorder="1" applyAlignment="1" applyProtection="1">
      <alignment horizontal="center" vertical="center"/>
      <protection locked="0"/>
    </xf>
    <xf numFmtId="3" fontId="3" fillId="2" borderId="61" xfId="0" applyNumberFormat="1" applyFont="1" applyFill="1" applyBorder="1" applyAlignment="1" applyProtection="1">
      <alignment horizontal="center" vertical="center"/>
      <protection locked="0"/>
    </xf>
    <xf numFmtId="3" fontId="3" fillId="2" borderId="63" xfId="0" applyNumberFormat="1" applyFont="1" applyFill="1" applyBorder="1" applyAlignment="1" applyProtection="1">
      <alignment horizontal="center" vertical="center"/>
      <protection locked="0"/>
    </xf>
    <xf numFmtId="3" fontId="3" fillId="2" borderId="54" xfId="0" applyNumberFormat="1" applyFont="1" applyFill="1" applyBorder="1" applyAlignment="1" applyProtection="1">
      <alignment horizontal="center" vertical="center"/>
    </xf>
    <xf numFmtId="2" fontId="3" fillId="2" borderId="66" xfId="0" applyNumberFormat="1" applyFont="1" applyFill="1" applyBorder="1" applyAlignment="1" applyProtection="1">
      <alignment horizontal="center" vertical="center"/>
    </xf>
    <xf numFmtId="2" fontId="3" fillId="2" borderId="7" xfId="0" applyNumberFormat="1" applyFont="1" applyFill="1" applyBorder="1" applyAlignment="1" applyProtection="1">
      <alignment horizontal="center" vertical="center"/>
    </xf>
    <xf numFmtId="2" fontId="3" fillId="2" borderId="19" xfId="0" applyNumberFormat="1" applyFont="1" applyFill="1" applyBorder="1" applyAlignment="1" applyProtection="1">
      <alignment horizontal="center" vertical="center"/>
    </xf>
    <xf numFmtId="2" fontId="3" fillId="3" borderId="67" xfId="0" applyNumberFormat="1" applyFont="1" applyFill="1" applyBorder="1" applyAlignment="1" applyProtection="1">
      <alignment horizontal="center" vertical="center"/>
    </xf>
    <xf numFmtId="2" fontId="3" fillId="3" borderId="62" xfId="0" applyNumberFormat="1" applyFont="1" applyFill="1" applyBorder="1" applyAlignment="1" applyProtection="1">
      <alignment horizontal="center" vertical="center"/>
    </xf>
    <xf numFmtId="0" fontId="7" fillId="2" borderId="0" xfId="0" applyFont="1" applyFill="1" applyAlignment="1">
      <alignment horizontal="center" vertical="center"/>
    </xf>
    <xf numFmtId="0" fontId="15" fillId="0" borderId="18" xfId="0" applyFont="1" applyBorder="1" applyAlignment="1">
      <alignment horizontal="center" vertical="center"/>
    </xf>
    <xf numFmtId="0" fontId="15" fillId="0" borderId="7" xfId="0" applyFont="1" applyBorder="1" applyAlignment="1">
      <alignment horizontal="center" vertical="center"/>
    </xf>
    <xf numFmtId="0" fontId="14" fillId="2" borderId="49" xfId="0" applyFont="1" applyFill="1" applyBorder="1" applyAlignment="1">
      <alignment horizontal="left" vertical="center"/>
    </xf>
    <xf numFmtId="0" fontId="7" fillId="2" borderId="13" xfId="0" applyFont="1" applyFill="1" applyBorder="1" applyAlignment="1">
      <alignment horizontal="center" vertical="center"/>
    </xf>
    <xf numFmtId="0" fontId="7" fillId="2" borderId="69" xfId="0" applyFont="1" applyFill="1" applyBorder="1" applyAlignment="1">
      <alignment horizontal="center" vertical="center"/>
    </xf>
    <xf numFmtId="0" fontId="13" fillId="2" borderId="70" xfId="0" applyFont="1" applyFill="1" applyBorder="1"/>
    <xf numFmtId="0" fontId="7" fillId="2" borderId="0" xfId="0" applyFont="1" applyFill="1" applyBorder="1" applyAlignment="1">
      <alignment horizontal="center" vertical="center"/>
    </xf>
    <xf numFmtId="0" fontId="7" fillId="2" borderId="71" xfId="0" applyFont="1" applyFill="1" applyBorder="1" applyAlignment="1">
      <alignment horizontal="center" vertical="center"/>
    </xf>
    <xf numFmtId="0" fontId="0" fillId="2" borderId="70" xfId="0" applyFill="1" applyBorder="1"/>
    <xf numFmtId="0" fontId="7" fillId="2" borderId="70" xfId="0" applyFont="1" applyFill="1" applyBorder="1" applyAlignment="1">
      <alignment horizontal="center" vertical="center"/>
    </xf>
    <xf numFmtId="0" fontId="7" fillId="2" borderId="72" xfId="0" applyFont="1" applyFill="1" applyBorder="1" applyAlignment="1">
      <alignment horizontal="center" vertical="center"/>
    </xf>
    <xf numFmtId="0" fontId="7" fillId="2" borderId="5" xfId="0" applyFont="1" applyFill="1" applyBorder="1" applyAlignment="1">
      <alignment horizontal="center" vertical="center"/>
    </xf>
    <xf numFmtId="0" fontId="7" fillId="2" borderId="45" xfId="0" applyFont="1" applyFill="1" applyBorder="1" applyAlignment="1">
      <alignment horizontal="center" vertical="center"/>
    </xf>
    <xf numFmtId="4" fontId="3" fillId="4" borderId="75" xfId="0" applyNumberFormat="1" applyFont="1" applyFill="1" applyBorder="1" applyAlignment="1" applyProtection="1">
      <alignment horizontal="center" vertical="center"/>
    </xf>
    <xf numFmtId="4" fontId="3" fillId="4" borderId="14" xfId="0" applyNumberFormat="1" applyFont="1" applyFill="1" applyBorder="1" applyAlignment="1" applyProtection="1">
      <alignment horizontal="center" vertical="center"/>
    </xf>
    <xf numFmtId="2" fontId="3" fillId="3" borderId="14" xfId="0" applyNumberFormat="1" applyFont="1" applyFill="1" applyBorder="1" applyAlignment="1" applyProtection="1">
      <alignment horizontal="center" vertical="center"/>
      <protection locked="0"/>
    </xf>
    <xf numFmtId="4" fontId="3" fillId="4" borderId="64" xfId="0" applyNumberFormat="1" applyFont="1" applyFill="1" applyBorder="1" applyAlignment="1" applyProtection="1">
      <alignment horizontal="center" vertical="center"/>
    </xf>
    <xf numFmtId="4" fontId="3" fillId="5" borderId="75" xfId="0" applyNumberFormat="1" applyFont="1" applyFill="1" applyBorder="1" applyAlignment="1" applyProtection="1">
      <alignment horizontal="center" vertical="center"/>
    </xf>
    <xf numFmtId="4" fontId="3" fillId="5" borderId="14" xfId="0" applyNumberFormat="1" applyFont="1" applyFill="1" applyBorder="1" applyAlignment="1" applyProtection="1">
      <alignment horizontal="center" vertical="center"/>
    </xf>
    <xf numFmtId="2" fontId="3" fillId="2" borderId="14" xfId="0" applyNumberFormat="1" applyFont="1" applyFill="1" applyBorder="1" applyAlignment="1" applyProtection="1">
      <alignment horizontal="center" vertical="center"/>
      <protection locked="0"/>
    </xf>
    <xf numFmtId="4" fontId="3" fillId="5" borderId="64" xfId="0" applyNumberFormat="1" applyFont="1" applyFill="1" applyBorder="1" applyAlignment="1" applyProtection="1">
      <alignment horizontal="center" vertical="center"/>
    </xf>
    <xf numFmtId="2" fontId="3" fillId="2" borderId="3" xfId="0" applyNumberFormat="1" applyFont="1" applyFill="1" applyBorder="1" applyProtection="1">
      <protection locked="0"/>
    </xf>
    <xf numFmtId="0" fontId="3" fillId="5" borderId="4" xfId="0" applyFont="1" applyFill="1" applyBorder="1" applyProtection="1"/>
    <xf numFmtId="3" fontId="3" fillId="2" borderId="76" xfId="0" applyNumberFormat="1" applyFont="1" applyFill="1" applyBorder="1" applyAlignment="1" applyProtection="1">
      <alignment horizontal="center" vertical="center"/>
      <protection locked="0"/>
    </xf>
    <xf numFmtId="0" fontId="3" fillId="2" borderId="66" xfId="0" applyNumberFormat="1" applyFont="1" applyFill="1" applyBorder="1" applyAlignment="1" applyProtection="1">
      <alignment horizontal="center" vertical="center"/>
      <protection locked="0"/>
    </xf>
    <xf numFmtId="2" fontId="3" fillId="2" borderId="77" xfId="0" applyNumberFormat="1" applyFont="1" applyFill="1" applyBorder="1" applyAlignment="1" applyProtection="1">
      <alignment horizontal="center" vertical="center"/>
    </xf>
    <xf numFmtId="3" fontId="3" fillId="2" borderId="1" xfId="0" applyNumberFormat="1" applyFont="1" applyFill="1" applyBorder="1" applyAlignment="1" applyProtection="1">
      <alignment horizontal="center" vertical="center"/>
      <protection locked="0"/>
    </xf>
    <xf numFmtId="3" fontId="3" fillId="2" borderId="45" xfId="0" applyNumberFormat="1" applyFont="1" applyFill="1" applyBorder="1" applyAlignment="1" applyProtection="1">
      <alignment horizontal="center" vertical="center"/>
      <protection locked="0"/>
    </xf>
    <xf numFmtId="2" fontId="3" fillId="3" borderId="78" xfId="0" applyNumberFormat="1" applyFont="1" applyFill="1" applyBorder="1" applyAlignment="1" applyProtection="1">
      <alignment horizontal="center" vertical="center"/>
    </xf>
    <xf numFmtId="2" fontId="3" fillId="0" borderId="67" xfId="0" applyNumberFormat="1" applyFont="1" applyFill="1" applyBorder="1" applyAlignment="1" applyProtection="1">
      <alignment horizontal="center" vertical="center"/>
    </xf>
    <xf numFmtId="2" fontId="3" fillId="0" borderId="78" xfId="0" applyNumberFormat="1" applyFont="1" applyFill="1" applyBorder="1" applyAlignment="1" applyProtection="1">
      <alignment horizontal="center" vertical="center"/>
    </xf>
    <xf numFmtId="2" fontId="3" fillId="0" borderId="62" xfId="0" applyNumberFormat="1" applyFont="1" applyFill="1" applyBorder="1" applyAlignment="1" applyProtection="1">
      <alignment horizontal="center" vertical="center"/>
    </xf>
    <xf numFmtId="164" fontId="4" fillId="2" borderId="17" xfId="0" applyNumberFormat="1" applyFont="1" applyFill="1" applyBorder="1" applyAlignment="1" applyProtection="1">
      <alignment horizontal="center" vertical="center"/>
    </xf>
    <xf numFmtId="2" fontId="3" fillId="0" borderId="68" xfId="0" applyNumberFormat="1" applyFont="1" applyFill="1" applyBorder="1" applyAlignment="1" applyProtection="1">
      <alignment horizontal="center" vertical="center"/>
    </xf>
    <xf numFmtId="2" fontId="3" fillId="0" borderId="17" xfId="0" applyNumberFormat="1" applyFont="1" applyFill="1" applyBorder="1" applyAlignment="1" applyProtection="1">
      <alignment horizontal="center" vertical="center"/>
    </xf>
    <xf numFmtId="2" fontId="3" fillId="0" borderId="79" xfId="0" applyNumberFormat="1" applyFont="1" applyFill="1" applyBorder="1" applyAlignment="1" applyProtection="1">
      <alignment horizontal="center" vertical="center"/>
    </xf>
    <xf numFmtId="0" fontId="5" fillId="2" borderId="37" xfId="0" applyFont="1" applyFill="1" applyBorder="1" applyAlignment="1" applyProtection="1">
      <protection locked="0"/>
    </xf>
    <xf numFmtId="0" fontId="15" fillId="2" borderId="70" xfId="0" applyFont="1" applyFill="1" applyBorder="1" applyAlignment="1">
      <alignment horizontal="left" vertical="center"/>
    </xf>
    <xf numFmtId="0" fontId="0" fillId="0" borderId="70" xfId="0" applyBorder="1"/>
    <xf numFmtId="0" fontId="4" fillId="2" borderId="5" xfId="0" applyFont="1" applyFill="1" applyBorder="1" applyAlignment="1" applyProtection="1">
      <alignment horizontal="center" vertical="center" textRotation="90" wrapText="1"/>
    </xf>
    <xf numFmtId="0" fontId="3" fillId="2" borderId="6" xfId="0" applyNumberFormat="1" applyFont="1" applyFill="1" applyBorder="1" applyAlignment="1" applyProtection="1">
      <alignment horizontal="center" vertical="center"/>
      <protection locked="0"/>
    </xf>
    <xf numFmtId="0" fontId="3" fillId="2" borderId="74" xfId="0" applyNumberFormat="1" applyFont="1" applyFill="1" applyBorder="1" applyAlignment="1" applyProtection="1">
      <alignment horizontal="center" vertical="center"/>
      <protection locked="0"/>
    </xf>
    <xf numFmtId="0" fontId="3" fillId="2" borderId="8" xfId="0" applyNumberFormat="1" applyFont="1" applyFill="1" applyBorder="1" applyAlignment="1" applyProtection="1">
      <alignment horizontal="center" vertical="center"/>
      <protection locked="0"/>
    </xf>
    <xf numFmtId="0" fontId="3" fillId="2" borderId="80" xfId="0" applyNumberFormat="1" applyFont="1" applyFill="1" applyBorder="1" applyAlignment="1" applyProtection="1">
      <alignment horizontal="center" vertical="center"/>
      <protection locked="0"/>
    </xf>
    <xf numFmtId="0" fontId="3" fillId="2" borderId="81" xfId="0" applyNumberFormat="1" applyFont="1" applyFill="1" applyBorder="1" applyAlignment="1" applyProtection="1">
      <alignment horizontal="center" vertical="center"/>
      <protection locked="0"/>
    </xf>
    <xf numFmtId="0" fontId="3" fillId="2" borderId="82" xfId="0" applyNumberFormat="1" applyFont="1" applyFill="1" applyBorder="1" applyAlignment="1" applyProtection="1">
      <alignment horizontal="center" vertical="center"/>
      <protection locked="0"/>
    </xf>
    <xf numFmtId="164" fontId="4" fillId="2" borderId="5" xfId="0" applyNumberFormat="1" applyFont="1" applyFill="1" applyBorder="1" applyAlignment="1" applyProtection="1">
      <alignment horizontal="center" vertical="center"/>
    </xf>
    <xf numFmtId="0" fontId="4" fillId="2" borderId="80" xfId="0" applyFont="1" applyFill="1" applyBorder="1" applyAlignment="1" applyProtection="1">
      <alignment horizontal="center" vertical="center" textRotation="90" wrapText="1"/>
    </xf>
    <xf numFmtId="164" fontId="4" fillId="2" borderId="46" xfId="0" applyNumberFormat="1" applyFont="1" applyFill="1" applyBorder="1" applyAlignment="1" applyProtection="1">
      <alignment horizontal="center" vertical="center"/>
    </xf>
    <xf numFmtId="0" fontId="3" fillId="0" borderId="0" xfId="0" applyFont="1" applyAlignment="1" applyProtection="1"/>
    <xf numFmtId="164" fontId="4" fillId="2" borderId="55" xfId="0" applyNumberFormat="1" applyFont="1" applyFill="1" applyBorder="1" applyAlignment="1" applyProtection="1">
      <alignment horizontal="right" vertical="center"/>
    </xf>
    <xf numFmtId="0" fontId="0" fillId="2" borderId="1" xfId="0" applyFill="1" applyBorder="1" applyAlignment="1" applyProtection="1">
      <alignment horizontal="right" vertical="center"/>
    </xf>
    <xf numFmtId="164" fontId="4" fillId="3" borderId="55" xfId="0" applyNumberFormat="1" applyFont="1" applyFill="1" applyBorder="1" applyAlignment="1" applyProtection="1">
      <alignment horizontal="right" vertical="center"/>
    </xf>
    <xf numFmtId="0" fontId="0" fillId="0" borderId="1" xfId="0" applyBorder="1" applyAlignment="1" applyProtection="1">
      <alignment horizontal="right" vertical="center"/>
    </xf>
    <xf numFmtId="0" fontId="3" fillId="3" borderId="6" xfId="0" applyFont="1" applyFill="1" applyBorder="1" applyAlignment="1" applyProtection="1">
      <alignment horizontal="center" vertical="center"/>
      <protection locked="0"/>
    </xf>
    <xf numFmtId="0" fontId="3" fillId="0" borderId="56" xfId="0" applyFont="1" applyBorder="1" applyAlignment="1" applyProtection="1">
      <alignment horizontal="center" vertical="center"/>
      <protection locked="0"/>
    </xf>
    <xf numFmtId="0" fontId="4" fillId="2" borderId="55" xfId="0" applyFont="1" applyFill="1" applyBorder="1" applyAlignment="1" applyProtection="1">
      <alignment horizontal="right" vertical="center"/>
    </xf>
    <xf numFmtId="0" fontId="4" fillId="2" borderId="1" xfId="0" applyFont="1" applyFill="1" applyBorder="1" applyAlignment="1" applyProtection="1">
      <alignment horizontal="right" vertical="center"/>
    </xf>
    <xf numFmtId="0" fontId="3" fillId="2" borderId="6" xfId="0" applyFont="1" applyFill="1" applyBorder="1" applyAlignment="1" applyProtection="1">
      <alignment horizontal="center" vertical="center"/>
      <protection locked="0"/>
    </xf>
    <xf numFmtId="0" fontId="3" fillId="2" borderId="56" xfId="0" applyFont="1" applyFill="1" applyBorder="1" applyAlignment="1" applyProtection="1">
      <alignment horizontal="center" vertical="center"/>
      <protection locked="0"/>
    </xf>
    <xf numFmtId="0" fontId="5" fillId="2" borderId="34" xfId="0" applyFont="1" applyFill="1" applyBorder="1" applyAlignment="1" applyProtection="1">
      <alignment horizontal="center" vertical="center"/>
      <protection locked="0"/>
    </xf>
    <xf numFmtId="0" fontId="5" fillId="2" borderId="35" xfId="0" applyFont="1" applyFill="1" applyBorder="1" applyAlignment="1" applyProtection="1">
      <alignment horizontal="center" vertical="center"/>
      <protection locked="0"/>
    </xf>
    <xf numFmtId="0" fontId="4" fillId="2" borderId="34" xfId="0" applyFont="1" applyFill="1" applyBorder="1" applyAlignment="1" applyProtection="1">
      <alignment horizontal="center" vertical="center"/>
    </xf>
    <xf numFmtId="0" fontId="0" fillId="2" borderId="34" xfId="0" applyFill="1" applyBorder="1" applyAlignment="1" applyProtection="1"/>
    <xf numFmtId="0" fontId="5" fillId="2" borderId="34" xfId="0" applyFont="1" applyFill="1" applyBorder="1" applyAlignment="1" applyProtection="1">
      <alignment horizontal="left" vertical="center"/>
      <protection locked="0"/>
    </xf>
    <xf numFmtId="0" fontId="5" fillId="2" borderId="35" xfId="0" applyFont="1" applyFill="1" applyBorder="1" applyAlignment="1" applyProtection="1">
      <alignment horizontal="left" vertical="center"/>
      <protection locked="0"/>
    </xf>
    <xf numFmtId="0" fontId="3" fillId="2" borderId="5" xfId="0" applyFont="1" applyFill="1" applyBorder="1" applyAlignment="1" applyProtection="1">
      <alignment horizontal="center" vertical="center"/>
      <protection locked="0"/>
    </xf>
    <xf numFmtId="0" fontId="3" fillId="2" borderId="39" xfId="0" applyFont="1" applyFill="1" applyBorder="1" applyAlignment="1" applyProtection="1">
      <alignment horizontal="center" vertical="center"/>
      <protection locked="0"/>
    </xf>
    <xf numFmtId="0" fontId="4" fillId="3" borderId="51" xfId="0" applyFont="1" applyFill="1" applyBorder="1" applyAlignment="1" applyProtection="1">
      <alignment horizontal="right" vertical="center"/>
    </xf>
    <xf numFmtId="0" fontId="4" fillId="3" borderId="45" xfId="0" applyFont="1" applyFill="1" applyBorder="1" applyAlignment="1" applyProtection="1">
      <alignment horizontal="right" vertical="center"/>
    </xf>
    <xf numFmtId="0" fontId="4" fillId="2" borderId="33" xfId="0" applyFont="1" applyFill="1" applyBorder="1" applyAlignment="1" applyProtection="1">
      <alignment horizontal="center" vertical="center"/>
    </xf>
    <xf numFmtId="0" fontId="0" fillId="2" borderId="34" xfId="0" applyFill="1" applyBorder="1" applyAlignment="1" applyProtection="1">
      <alignment horizontal="center" vertical="center"/>
    </xf>
    <xf numFmtId="0" fontId="4" fillId="2" borderId="47" xfId="0" applyFont="1" applyFill="1" applyBorder="1" applyAlignment="1" applyProtection="1">
      <alignment horizontal="center" vertical="center" textRotation="90"/>
    </xf>
    <xf numFmtId="0" fontId="0" fillId="2" borderId="47" xfId="0" applyFill="1" applyBorder="1" applyAlignment="1" applyProtection="1">
      <alignment horizontal="center" vertical="center"/>
    </xf>
    <xf numFmtId="0" fontId="0" fillId="2" borderId="27" xfId="0" applyFill="1" applyBorder="1" applyAlignment="1" applyProtection="1">
      <alignment horizontal="center" vertical="center"/>
    </xf>
    <xf numFmtId="0" fontId="3" fillId="3" borderId="5" xfId="0" applyFont="1" applyFill="1" applyBorder="1" applyAlignment="1" applyProtection="1">
      <alignment horizontal="center" vertical="center"/>
      <protection locked="0"/>
    </xf>
    <xf numFmtId="0" fontId="3" fillId="0" borderId="39" xfId="0" applyFont="1" applyBorder="1" applyAlignment="1" applyProtection="1">
      <alignment horizontal="center" vertical="center"/>
      <protection locked="0"/>
    </xf>
    <xf numFmtId="0" fontId="4" fillId="3" borderId="55" xfId="0" applyFont="1" applyFill="1" applyBorder="1" applyAlignment="1" applyProtection="1">
      <alignment horizontal="right" vertical="center"/>
    </xf>
    <xf numFmtId="0" fontId="4" fillId="0" borderId="1" xfId="0" applyFont="1" applyBorder="1" applyAlignment="1" applyProtection="1">
      <alignment horizontal="right" vertical="center"/>
    </xf>
    <xf numFmtId="164" fontId="4" fillId="2" borderId="33" xfId="0" applyNumberFormat="1" applyFont="1" applyFill="1" applyBorder="1" applyAlignment="1" applyProtection="1">
      <alignment horizontal="center" vertical="center" wrapText="1"/>
    </xf>
    <xf numFmtId="0" fontId="0" fillId="0" borderId="50" xfId="0" applyBorder="1" applyAlignment="1">
      <alignment horizontal="center" vertical="center"/>
    </xf>
    <xf numFmtId="0" fontId="3" fillId="2" borderId="11" xfId="0" applyFont="1" applyFill="1" applyBorder="1" applyAlignment="1" applyProtection="1">
      <alignment horizontal="center" vertical="center"/>
      <protection locked="0"/>
    </xf>
    <xf numFmtId="0" fontId="12" fillId="2" borderId="23" xfId="0" applyFont="1" applyFill="1" applyBorder="1" applyAlignment="1" applyProtection="1">
      <alignment horizontal="center" vertical="center" wrapText="1"/>
    </xf>
    <xf numFmtId="0" fontId="11" fillId="2" borderId="0" xfId="0" applyFont="1" applyFill="1" applyBorder="1" applyAlignment="1" applyProtection="1">
      <alignment wrapText="1"/>
    </xf>
    <xf numFmtId="0" fontId="11" fillId="2" borderId="23" xfId="0" applyFont="1" applyFill="1" applyBorder="1" applyAlignment="1" applyProtection="1">
      <alignment wrapText="1"/>
    </xf>
    <xf numFmtId="0" fontId="3" fillId="2" borderId="23" xfId="0" applyFont="1" applyFill="1" applyBorder="1" applyAlignment="1" applyProtection="1">
      <alignment wrapText="1"/>
      <protection locked="0"/>
    </xf>
    <xf numFmtId="0" fontId="3" fillId="2" borderId="0" xfId="0" applyFont="1" applyFill="1" applyBorder="1" applyAlignment="1" applyProtection="1">
      <alignment wrapText="1"/>
      <protection locked="0"/>
    </xf>
    <xf numFmtId="0" fontId="3" fillId="2" borderId="26" xfId="0" applyFont="1" applyFill="1" applyBorder="1" applyAlignment="1" applyProtection="1">
      <alignment wrapText="1"/>
      <protection locked="0"/>
    </xf>
    <xf numFmtId="0" fontId="3" fillId="2" borderId="2" xfId="0" applyFont="1" applyFill="1" applyBorder="1" applyAlignment="1" applyProtection="1">
      <alignment wrapText="1"/>
      <protection locked="0"/>
    </xf>
    <xf numFmtId="0" fontId="4" fillId="2" borderId="28" xfId="0" applyFont="1" applyFill="1" applyBorder="1" applyAlignment="1" applyProtection="1">
      <alignment horizontal="right" vertical="center"/>
    </xf>
    <xf numFmtId="0" fontId="3" fillId="2" borderId="8" xfId="0" applyFont="1" applyFill="1" applyBorder="1" applyAlignment="1" applyProtection="1">
      <alignment horizontal="right" vertical="center"/>
    </xf>
    <xf numFmtId="0" fontId="0" fillId="0" borderId="8" xfId="0" applyBorder="1" applyAlignment="1" applyProtection="1">
      <alignment vertical="center"/>
    </xf>
    <xf numFmtId="0" fontId="4" fillId="2" borderId="51" xfId="0" applyFont="1" applyFill="1" applyBorder="1" applyAlignment="1" applyProtection="1">
      <alignment horizontal="right" vertical="center"/>
    </xf>
    <xf numFmtId="0" fontId="4" fillId="2" borderId="45" xfId="0" applyFont="1" applyFill="1" applyBorder="1" applyAlignment="1" applyProtection="1">
      <alignment horizontal="right" vertical="center"/>
    </xf>
    <xf numFmtId="0" fontId="4" fillId="2" borderId="65" xfId="0" applyFont="1" applyFill="1" applyBorder="1" applyAlignment="1" applyProtection="1">
      <alignment horizontal="center" vertical="center" textRotation="90" wrapText="1"/>
    </xf>
    <xf numFmtId="0" fontId="0" fillId="0" borderId="46" xfId="0" applyBorder="1" applyAlignment="1" applyProtection="1">
      <alignment horizontal="center" vertical="center"/>
    </xf>
    <xf numFmtId="0" fontId="4" fillId="2" borderId="30" xfId="0" applyFont="1" applyFill="1" applyBorder="1" applyAlignment="1" applyProtection="1">
      <alignment horizontal="right" vertical="center"/>
    </xf>
    <xf numFmtId="0" fontId="3" fillId="2" borderId="74" xfId="0" applyFont="1" applyFill="1" applyBorder="1" applyAlignment="1" applyProtection="1">
      <alignment horizontal="right" vertical="center"/>
    </xf>
    <xf numFmtId="0" fontId="0" fillId="0" borderId="74" xfId="0" applyBorder="1" applyAlignment="1" applyProtection="1">
      <alignment vertical="center"/>
    </xf>
    <xf numFmtId="0" fontId="4" fillId="2" borderId="23" xfId="0" applyFont="1" applyFill="1" applyBorder="1" applyAlignment="1" applyProtection="1">
      <alignment horizontal="center" vertical="center"/>
    </xf>
    <xf numFmtId="0" fontId="3" fillId="2" borderId="0" xfId="0" applyFont="1" applyFill="1" applyBorder="1" applyAlignment="1" applyProtection="1">
      <alignment horizontal="center" vertical="center"/>
    </xf>
    <xf numFmtId="0" fontId="3" fillId="2" borderId="21" xfId="0" applyFont="1" applyFill="1" applyBorder="1" applyAlignment="1" applyProtection="1">
      <alignment horizontal="center" vertical="center"/>
    </xf>
    <xf numFmtId="0" fontId="3" fillId="2" borderId="29" xfId="0" applyFont="1" applyFill="1" applyBorder="1" applyAlignment="1" applyProtection="1">
      <alignment horizontal="center" vertical="center"/>
      <protection locked="0"/>
    </xf>
    <xf numFmtId="0" fontId="3" fillId="3" borderId="56" xfId="0" applyFont="1" applyFill="1" applyBorder="1" applyAlignment="1" applyProtection="1">
      <alignment horizontal="center" vertical="center"/>
      <protection locked="0"/>
    </xf>
    <xf numFmtId="0" fontId="6" fillId="2" borderId="0" xfId="0" applyFont="1" applyFill="1" applyBorder="1" applyAlignment="1" applyProtection="1">
      <alignment horizontal="center" vertical="center" wrapText="1"/>
    </xf>
    <xf numFmtId="0" fontId="6" fillId="2" borderId="0" xfId="0" applyFont="1" applyFill="1" applyAlignment="1" applyProtection="1">
      <alignment horizontal="center" vertical="center" wrapText="1"/>
    </xf>
    <xf numFmtId="0" fontId="0" fillId="0" borderId="0" xfId="0" applyAlignment="1" applyProtection="1"/>
    <xf numFmtId="166" fontId="5" fillId="2" borderId="0" xfId="0" applyNumberFormat="1" applyFont="1" applyFill="1" applyBorder="1" applyAlignment="1" applyProtection="1">
      <protection locked="0"/>
    </xf>
    <xf numFmtId="166" fontId="5" fillId="0" borderId="21" xfId="0" applyNumberFormat="1" applyFont="1" applyBorder="1" applyAlignment="1" applyProtection="1">
      <protection locked="0"/>
    </xf>
    <xf numFmtId="166" fontId="5" fillId="0" borderId="5" xfId="0" applyNumberFormat="1" applyFont="1" applyBorder="1" applyAlignment="1" applyProtection="1">
      <protection locked="0"/>
    </xf>
    <xf numFmtId="166" fontId="5" fillId="0" borderId="29" xfId="0" applyNumberFormat="1" applyFont="1" applyBorder="1" applyAlignment="1" applyProtection="1">
      <protection locked="0"/>
    </xf>
    <xf numFmtId="0" fontId="3" fillId="2" borderId="32" xfId="0" applyFont="1" applyFill="1" applyBorder="1" applyAlignment="1" applyProtection="1">
      <alignment horizontal="center" vertical="center"/>
    </xf>
    <xf numFmtId="0" fontId="0" fillId="0" borderId="13" xfId="0" applyBorder="1" applyAlignment="1" applyProtection="1"/>
    <xf numFmtId="0" fontId="3" fillId="2" borderId="13" xfId="0" applyFont="1" applyFill="1" applyBorder="1" applyAlignment="1" applyProtection="1">
      <alignment horizontal="center" vertical="center"/>
    </xf>
    <xf numFmtId="0" fontId="0" fillId="0" borderId="40" xfId="0" applyBorder="1" applyAlignment="1" applyProtection="1">
      <alignment horizontal="center" vertical="center"/>
    </xf>
    <xf numFmtId="0" fontId="3" fillId="2" borderId="52" xfId="0" applyFont="1" applyFill="1" applyBorder="1" applyAlignment="1" applyProtection="1">
      <alignment horizontal="center" vertical="center"/>
    </xf>
    <xf numFmtId="0" fontId="0" fillId="0" borderId="53" xfId="0" applyBorder="1" applyAlignment="1" applyProtection="1">
      <alignment horizontal="center" vertical="center"/>
    </xf>
    <xf numFmtId="0" fontId="1" fillId="2" borderId="26" xfId="0" applyFont="1" applyFill="1" applyBorder="1" applyAlignment="1" applyProtection="1">
      <alignment horizontal="center" vertical="top" wrapText="1"/>
    </xf>
    <xf numFmtId="0" fontId="0" fillId="2" borderId="2" xfId="0" applyFill="1" applyBorder="1" applyAlignment="1" applyProtection="1">
      <alignment horizontal="center" vertical="top" wrapText="1"/>
    </xf>
    <xf numFmtId="0" fontId="0" fillId="0" borderId="41" xfId="0" applyBorder="1" applyAlignment="1" applyProtection="1"/>
    <xf numFmtId="0" fontId="1" fillId="2" borderId="43" xfId="0" applyFont="1" applyFill="1" applyBorder="1" applyAlignment="1" applyProtection="1">
      <alignment horizontal="center" vertical="top" wrapText="1"/>
    </xf>
    <xf numFmtId="0" fontId="0" fillId="0" borderId="2" xfId="0" applyBorder="1" applyAlignment="1" applyProtection="1"/>
    <xf numFmtId="0" fontId="0" fillId="0" borderId="25" xfId="0" applyBorder="1" applyAlignment="1" applyProtection="1"/>
    <xf numFmtId="0" fontId="3" fillId="2" borderId="23" xfId="0" applyFont="1" applyFill="1" applyBorder="1" applyAlignment="1" applyProtection="1"/>
    <xf numFmtId="0" fontId="0" fillId="0" borderId="12" xfId="0" applyBorder="1" applyAlignment="1" applyProtection="1"/>
    <xf numFmtId="0" fontId="0" fillId="0" borderId="5" xfId="0" applyBorder="1" applyAlignment="1" applyProtection="1"/>
    <xf numFmtId="0" fontId="3" fillId="0" borderId="0" xfId="0" applyFont="1" applyAlignment="1" applyProtection="1"/>
    <xf numFmtId="166" fontId="5" fillId="0" borderId="37" xfId="0" applyNumberFormat="1" applyFont="1" applyBorder="1" applyAlignment="1" applyProtection="1">
      <protection locked="0"/>
    </xf>
    <xf numFmtId="166" fontId="5" fillId="0" borderId="39" xfId="0" applyNumberFormat="1" applyFont="1" applyBorder="1" applyAlignment="1" applyProtection="1">
      <protection locked="0"/>
    </xf>
    <xf numFmtId="0" fontId="3" fillId="2" borderId="36" xfId="0" applyFont="1" applyFill="1" applyBorder="1" applyAlignment="1" applyProtection="1"/>
    <xf numFmtId="0" fontId="0" fillId="0" borderId="51" xfId="0" applyBorder="1" applyAlignment="1" applyProtection="1"/>
    <xf numFmtId="0" fontId="6" fillId="2" borderId="20" xfId="0" applyFont="1" applyFill="1" applyBorder="1" applyAlignment="1" applyProtection="1">
      <alignment horizontal="center" vertical="center" wrapText="1"/>
    </xf>
    <xf numFmtId="0" fontId="0" fillId="0" borderId="20" xfId="0" applyBorder="1" applyAlignment="1" applyProtection="1"/>
    <xf numFmtId="0" fontId="4" fillId="2" borderId="23" xfId="0" applyFont="1" applyFill="1" applyBorder="1" applyAlignment="1" applyProtection="1">
      <alignment horizontal="left" vertical="center"/>
      <protection locked="0"/>
    </xf>
    <xf numFmtId="0" fontId="0" fillId="2" borderId="0" xfId="0" applyFill="1" applyAlignment="1" applyProtection="1">
      <protection locked="0"/>
    </xf>
    <xf numFmtId="0" fontId="0" fillId="2" borderId="37" xfId="0" applyFill="1" applyBorder="1" applyAlignment="1" applyProtection="1">
      <protection locked="0"/>
    </xf>
    <xf numFmtId="0" fontId="4" fillId="2" borderId="36" xfId="0" applyFont="1" applyFill="1" applyBorder="1" applyAlignment="1" applyProtection="1">
      <alignment horizontal="left" vertical="center"/>
    </xf>
    <xf numFmtId="0" fontId="0" fillId="2" borderId="0" xfId="0" applyFill="1" applyAlignment="1" applyProtection="1">
      <alignment horizontal="left" vertical="center"/>
    </xf>
    <xf numFmtId="0" fontId="5" fillId="2" borderId="0" xfId="0" applyFont="1" applyFill="1" applyAlignment="1" applyProtection="1">
      <alignment horizontal="left" vertical="center"/>
      <protection locked="0"/>
    </xf>
    <xf numFmtId="0" fontId="4" fillId="2" borderId="0" xfId="0" applyFont="1" applyFill="1" applyAlignment="1" applyProtection="1">
      <alignment horizontal="left" vertical="center"/>
    </xf>
    <xf numFmtId="166" fontId="5" fillId="2" borderId="21" xfId="0" applyNumberFormat="1" applyFont="1" applyFill="1" applyBorder="1" applyAlignment="1" applyProtection="1">
      <alignment horizontal="left" vertical="center"/>
      <protection locked="0"/>
    </xf>
    <xf numFmtId="166" fontId="0" fillId="2" borderId="0" xfId="0" applyNumberFormat="1" applyFill="1" applyBorder="1" applyAlignment="1" applyProtection="1">
      <protection locked="0"/>
    </xf>
    <xf numFmtId="166" fontId="0" fillId="2" borderId="21" xfId="0" applyNumberFormat="1" applyFill="1" applyBorder="1" applyAlignment="1" applyProtection="1">
      <protection locked="0"/>
    </xf>
    <xf numFmtId="0" fontId="5" fillId="0" borderId="0" xfId="0" applyFont="1" applyBorder="1" applyAlignment="1" applyProtection="1">
      <alignment horizontal="left" vertical="center"/>
      <protection locked="0"/>
    </xf>
    <xf numFmtId="0" fontId="0" fillId="0" borderId="0" xfId="0" applyBorder="1" applyAlignment="1" applyProtection="1">
      <protection locked="0"/>
    </xf>
    <xf numFmtId="0" fontId="0" fillId="0" borderId="21" xfId="0" applyBorder="1" applyAlignment="1" applyProtection="1">
      <protection locked="0"/>
    </xf>
    <xf numFmtId="0" fontId="4" fillId="2" borderId="31" xfId="0" applyFont="1" applyFill="1" applyBorder="1" applyAlignment="1" applyProtection="1">
      <alignment horizontal="left" vertical="center"/>
    </xf>
    <xf numFmtId="0" fontId="0" fillId="0" borderId="20" xfId="0" applyBorder="1" applyAlignment="1" applyProtection="1">
      <alignment horizontal="left" vertical="center"/>
    </xf>
    <xf numFmtId="0" fontId="5" fillId="2" borderId="20" xfId="0" applyFont="1" applyFill="1" applyBorder="1" applyAlignment="1" applyProtection="1">
      <alignment horizontal="left" vertical="center"/>
      <protection locked="0"/>
    </xf>
    <xf numFmtId="0" fontId="0" fillId="0" borderId="20" xfId="0" applyBorder="1" applyAlignment="1" applyProtection="1">
      <protection locked="0"/>
    </xf>
    <xf numFmtId="0" fontId="0" fillId="0" borderId="38" xfId="0" applyBorder="1" applyAlignment="1" applyProtection="1">
      <protection locked="0"/>
    </xf>
    <xf numFmtId="0" fontId="4" fillId="2" borderId="44" xfId="0" applyFont="1" applyFill="1" applyBorder="1" applyAlignment="1" applyProtection="1">
      <alignment horizontal="left" vertical="center"/>
    </xf>
    <xf numFmtId="0" fontId="5" fillId="2" borderId="20" xfId="0" applyFont="1" applyFill="1" applyBorder="1" applyAlignment="1" applyProtection="1">
      <protection locked="0"/>
    </xf>
    <xf numFmtId="0" fontId="5" fillId="2" borderId="24" xfId="0" applyFont="1" applyFill="1" applyBorder="1" applyAlignment="1" applyProtection="1">
      <protection locked="0"/>
    </xf>
    <xf numFmtId="0" fontId="4" fillId="2" borderId="23" xfId="0" applyFont="1" applyFill="1" applyBorder="1" applyAlignment="1" applyProtection="1">
      <alignment horizontal="left" vertical="center"/>
    </xf>
    <xf numFmtId="0" fontId="0" fillId="0" borderId="0" xfId="0" applyAlignment="1" applyProtection="1">
      <alignment horizontal="left" vertical="center"/>
    </xf>
    <xf numFmtId="0" fontId="0" fillId="0" borderId="0" xfId="0" applyAlignment="1">
      <alignment horizontal="left" vertical="center"/>
    </xf>
    <xf numFmtId="0" fontId="0" fillId="0" borderId="0" xfId="0" applyAlignment="1" applyProtection="1">
      <protection locked="0"/>
    </xf>
    <xf numFmtId="0" fontId="5" fillId="2" borderId="0" xfId="0" applyFont="1" applyFill="1" applyBorder="1" applyAlignment="1" applyProtection="1">
      <alignment horizontal="left" vertical="center"/>
      <protection locked="0"/>
    </xf>
    <xf numFmtId="0" fontId="0" fillId="2" borderId="0" xfId="0" applyFill="1" applyBorder="1" applyAlignment="1" applyProtection="1">
      <protection locked="0"/>
    </xf>
    <xf numFmtId="0" fontId="0" fillId="2" borderId="21" xfId="0" applyFill="1" applyBorder="1" applyAlignment="1" applyProtection="1">
      <protection locked="0"/>
    </xf>
    <xf numFmtId="0" fontId="0" fillId="0" borderId="0" xfId="0" applyAlignment="1" applyProtection="1">
      <alignment horizontal="left" vertical="center"/>
      <protection locked="0"/>
    </xf>
    <xf numFmtId="0" fontId="4" fillId="2" borderId="0" xfId="0" applyFont="1" applyFill="1" applyBorder="1" applyAlignment="1" applyProtection="1">
      <alignment horizontal="left" vertical="center"/>
    </xf>
    <xf numFmtId="0" fontId="3" fillId="2" borderId="2" xfId="0" applyFont="1" applyFill="1" applyBorder="1" applyAlignment="1" applyProtection="1">
      <alignment horizontal="center" vertical="center" wrapText="1"/>
    </xf>
    <xf numFmtId="0" fontId="0" fillId="0" borderId="2" xfId="0" applyBorder="1" applyAlignment="1" applyProtection="1">
      <alignment horizontal="center" vertical="center"/>
    </xf>
    <xf numFmtId="0" fontId="3" fillId="2" borderId="33" xfId="0" applyFont="1" applyFill="1" applyBorder="1" applyAlignment="1" applyProtection="1">
      <alignment horizontal="left" vertical="top" wrapText="1"/>
      <protection locked="0"/>
    </xf>
    <xf numFmtId="0" fontId="0" fillId="0" borderId="34" xfId="0" applyBorder="1" applyAlignment="1" applyProtection="1">
      <alignment horizontal="left" vertical="top" wrapText="1"/>
      <protection locked="0"/>
    </xf>
    <xf numFmtId="0" fontId="0" fillId="0" borderId="35" xfId="0" applyBorder="1" applyAlignment="1" applyProtection="1">
      <alignment horizontal="left" vertical="top" wrapText="1"/>
      <protection locked="0"/>
    </xf>
    <xf numFmtId="0" fontId="3" fillId="2" borderId="34" xfId="0" applyFont="1" applyFill="1" applyBorder="1" applyAlignment="1" applyProtection="1"/>
    <xf numFmtId="0" fontId="0" fillId="0" borderId="34" xfId="0" applyBorder="1" applyAlignment="1" applyProtection="1"/>
    <xf numFmtId="0" fontId="0" fillId="0" borderId="50" xfId="0" applyBorder="1" applyAlignment="1" applyProtection="1"/>
    <xf numFmtId="0" fontId="4" fillId="2" borderId="42" xfId="0" applyFont="1" applyFill="1" applyBorder="1" applyAlignment="1" applyProtection="1">
      <alignment horizontal="center" vertical="center"/>
    </xf>
    <xf numFmtId="0" fontId="0" fillId="0" borderId="35" xfId="0" applyBorder="1" applyAlignment="1" applyProtection="1"/>
    <xf numFmtId="0" fontId="2" fillId="2" borderId="0" xfId="0" applyFont="1" applyFill="1" applyBorder="1" applyAlignment="1" applyProtection="1">
      <alignment horizontal="left" vertical="center"/>
      <protection locked="0"/>
    </xf>
    <xf numFmtId="0" fontId="9" fillId="0" borderId="14" xfId="0" applyFont="1" applyBorder="1" applyAlignment="1">
      <alignment horizontal="center" vertical="center"/>
    </xf>
    <xf numFmtId="0" fontId="9" fillId="0" borderId="73" xfId="0" applyFont="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lockText="1"/>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85725</xdr:colOff>
          <xdr:row>3</xdr:row>
          <xdr:rowOff>133350</xdr:rowOff>
        </xdr:from>
        <xdr:to>
          <xdr:col>3</xdr:col>
          <xdr:colOff>47625</xdr:colOff>
          <xdr:row>5</xdr:row>
          <xdr:rowOff>114300</xdr:rowOff>
        </xdr:to>
        <xdr:sp macro="" textlink="">
          <xdr:nvSpPr>
            <xdr:cNvPr id="1195" name="Check Box 171" hidden="1">
              <a:extLst>
                <a:ext uri="{63B3BB69-23CF-44E3-9099-C40C66FF867C}">
                  <a14:compatExt spid="_x0000_s1195"/>
                </a:ext>
                <a:ext uri="{FF2B5EF4-FFF2-40B4-BE49-F238E27FC236}">
                  <a16:creationId xmlns:a16="http://schemas.microsoft.com/office/drawing/2014/main" id="{00000000-0008-0000-0000-0000A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38100</xdr:colOff>
          <xdr:row>4</xdr:row>
          <xdr:rowOff>9525</xdr:rowOff>
        </xdr:from>
        <xdr:to>
          <xdr:col>5</xdr:col>
          <xdr:colOff>57150</xdr:colOff>
          <xdr:row>5</xdr:row>
          <xdr:rowOff>85725</xdr:rowOff>
        </xdr:to>
        <xdr:sp macro="" textlink="">
          <xdr:nvSpPr>
            <xdr:cNvPr id="1198" name="Check Box 174" hidden="1">
              <a:extLst>
                <a:ext uri="{63B3BB69-23CF-44E3-9099-C40C66FF867C}">
                  <a14:compatExt spid="_x0000_s1198"/>
                </a:ext>
                <a:ext uri="{FF2B5EF4-FFF2-40B4-BE49-F238E27FC236}">
                  <a16:creationId xmlns:a16="http://schemas.microsoft.com/office/drawing/2014/main" id="{00000000-0008-0000-0000-0000A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47625</xdr:colOff>
          <xdr:row>6</xdr:row>
          <xdr:rowOff>9525</xdr:rowOff>
        </xdr:from>
        <xdr:to>
          <xdr:col>9</xdr:col>
          <xdr:colOff>47625</xdr:colOff>
          <xdr:row>6</xdr:row>
          <xdr:rowOff>152400</xdr:rowOff>
        </xdr:to>
        <xdr:sp macro="" textlink="">
          <xdr:nvSpPr>
            <xdr:cNvPr id="1199" name="Check Box 175" hidden="1">
              <a:extLst>
                <a:ext uri="{63B3BB69-23CF-44E3-9099-C40C66FF867C}">
                  <a14:compatExt spid="_x0000_s1199"/>
                </a:ext>
                <a:ext uri="{FF2B5EF4-FFF2-40B4-BE49-F238E27FC236}">
                  <a16:creationId xmlns:a16="http://schemas.microsoft.com/office/drawing/2014/main" id="{00000000-0008-0000-0000-0000A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47625</xdr:colOff>
          <xdr:row>6</xdr:row>
          <xdr:rowOff>0</xdr:rowOff>
        </xdr:from>
        <xdr:to>
          <xdr:col>10</xdr:col>
          <xdr:colOff>47625</xdr:colOff>
          <xdr:row>7</xdr:row>
          <xdr:rowOff>9525</xdr:rowOff>
        </xdr:to>
        <xdr:sp macro="" textlink="">
          <xdr:nvSpPr>
            <xdr:cNvPr id="1200" name="Check Box 176" hidden="1">
              <a:extLst>
                <a:ext uri="{63B3BB69-23CF-44E3-9099-C40C66FF867C}">
                  <a14:compatExt spid="_x0000_s1200"/>
                </a:ext>
                <a:ext uri="{FF2B5EF4-FFF2-40B4-BE49-F238E27FC236}">
                  <a16:creationId xmlns:a16="http://schemas.microsoft.com/office/drawing/2014/main" id="{00000000-0008-0000-0000-0000B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47625</xdr:colOff>
          <xdr:row>6</xdr:row>
          <xdr:rowOff>9525</xdr:rowOff>
        </xdr:from>
        <xdr:to>
          <xdr:col>17</xdr:col>
          <xdr:colOff>47625</xdr:colOff>
          <xdr:row>6</xdr:row>
          <xdr:rowOff>152400</xdr:rowOff>
        </xdr:to>
        <xdr:sp macro="" textlink="">
          <xdr:nvSpPr>
            <xdr:cNvPr id="1201" name="Check Box 177" hidden="1">
              <a:extLst>
                <a:ext uri="{63B3BB69-23CF-44E3-9099-C40C66FF867C}">
                  <a14:compatExt spid="_x0000_s1201"/>
                </a:ext>
                <a:ext uri="{FF2B5EF4-FFF2-40B4-BE49-F238E27FC236}">
                  <a16:creationId xmlns:a16="http://schemas.microsoft.com/office/drawing/2014/main" id="{00000000-0008-0000-0000-0000B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47625</xdr:colOff>
          <xdr:row>6</xdr:row>
          <xdr:rowOff>0</xdr:rowOff>
        </xdr:from>
        <xdr:to>
          <xdr:col>18</xdr:col>
          <xdr:colOff>47625</xdr:colOff>
          <xdr:row>7</xdr:row>
          <xdr:rowOff>9525</xdr:rowOff>
        </xdr:to>
        <xdr:sp macro="" textlink="">
          <xdr:nvSpPr>
            <xdr:cNvPr id="1202" name="Check Box 178" hidden="1">
              <a:extLst>
                <a:ext uri="{63B3BB69-23CF-44E3-9099-C40C66FF867C}">
                  <a14:compatExt spid="_x0000_s1202"/>
                </a:ext>
                <a:ext uri="{FF2B5EF4-FFF2-40B4-BE49-F238E27FC236}">
                  <a16:creationId xmlns:a16="http://schemas.microsoft.com/office/drawing/2014/main" id="{00000000-0008-0000-0000-0000B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47625</xdr:colOff>
          <xdr:row>6</xdr:row>
          <xdr:rowOff>9525</xdr:rowOff>
        </xdr:from>
        <xdr:to>
          <xdr:col>13</xdr:col>
          <xdr:colOff>47625</xdr:colOff>
          <xdr:row>6</xdr:row>
          <xdr:rowOff>152400</xdr:rowOff>
        </xdr:to>
        <xdr:sp macro="" textlink="">
          <xdr:nvSpPr>
            <xdr:cNvPr id="1203" name="Check Box 179" hidden="1">
              <a:extLst>
                <a:ext uri="{63B3BB69-23CF-44E3-9099-C40C66FF867C}">
                  <a14:compatExt spid="_x0000_s1203"/>
                </a:ext>
                <a:ext uri="{FF2B5EF4-FFF2-40B4-BE49-F238E27FC236}">
                  <a16:creationId xmlns:a16="http://schemas.microsoft.com/office/drawing/2014/main" id="{00000000-0008-0000-0000-0000B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47625</xdr:colOff>
          <xdr:row>6</xdr:row>
          <xdr:rowOff>0</xdr:rowOff>
        </xdr:from>
        <xdr:to>
          <xdr:col>14</xdr:col>
          <xdr:colOff>47625</xdr:colOff>
          <xdr:row>7</xdr:row>
          <xdr:rowOff>9525</xdr:rowOff>
        </xdr:to>
        <xdr:sp macro="" textlink="">
          <xdr:nvSpPr>
            <xdr:cNvPr id="1204" name="Check Box 180" hidden="1">
              <a:extLst>
                <a:ext uri="{63B3BB69-23CF-44E3-9099-C40C66FF867C}">
                  <a14:compatExt spid="_x0000_s1204"/>
                </a:ext>
                <a:ext uri="{FF2B5EF4-FFF2-40B4-BE49-F238E27FC236}">
                  <a16:creationId xmlns:a16="http://schemas.microsoft.com/office/drawing/2014/main" id="{00000000-0008-0000-0000-0000B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47625</xdr:colOff>
          <xdr:row>6</xdr:row>
          <xdr:rowOff>9525</xdr:rowOff>
        </xdr:from>
        <xdr:to>
          <xdr:col>21</xdr:col>
          <xdr:colOff>47625</xdr:colOff>
          <xdr:row>6</xdr:row>
          <xdr:rowOff>152400</xdr:rowOff>
        </xdr:to>
        <xdr:sp macro="" textlink="">
          <xdr:nvSpPr>
            <xdr:cNvPr id="1205" name="Check Box 181" hidden="1">
              <a:extLst>
                <a:ext uri="{63B3BB69-23CF-44E3-9099-C40C66FF867C}">
                  <a14:compatExt spid="_x0000_s1205"/>
                </a:ext>
                <a:ext uri="{FF2B5EF4-FFF2-40B4-BE49-F238E27FC236}">
                  <a16:creationId xmlns:a16="http://schemas.microsoft.com/office/drawing/2014/main" id="{00000000-0008-0000-0000-0000B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47625</xdr:colOff>
          <xdr:row>6</xdr:row>
          <xdr:rowOff>0</xdr:rowOff>
        </xdr:from>
        <xdr:to>
          <xdr:col>22</xdr:col>
          <xdr:colOff>47625</xdr:colOff>
          <xdr:row>7</xdr:row>
          <xdr:rowOff>9525</xdr:rowOff>
        </xdr:to>
        <xdr:sp macro="" textlink="">
          <xdr:nvSpPr>
            <xdr:cNvPr id="1206" name="Check Box 182" hidden="1">
              <a:extLst>
                <a:ext uri="{63B3BB69-23CF-44E3-9099-C40C66FF867C}">
                  <a14:compatExt spid="_x0000_s1206"/>
                </a:ext>
                <a:ext uri="{FF2B5EF4-FFF2-40B4-BE49-F238E27FC236}">
                  <a16:creationId xmlns:a16="http://schemas.microsoft.com/office/drawing/2014/main" id="{00000000-0008-0000-0000-0000B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180975</xdr:colOff>
          <xdr:row>12</xdr:row>
          <xdr:rowOff>47625</xdr:rowOff>
        </xdr:from>
        <xdr:to>
          <xdr:col>9</xdr:col>
          <xdr:colOff>114300</xdr:colOff>
          <xdr:row>13</xdr:row>
          <xdr:rowOff>0</xdr:rowOff>
        </xdr:to>
        <xdr:sp macro="" textlink="">
          <xdr:nvSpPr>
            <xdr:cNvPr id="2049" name="Check Box 1" hidden="1">
              <a:extLst>
                <a:ext uri="{63B3BB69-23CF-44E3-9099-C40C66FF867C}">
                  <a14:compatExt spid="_x0000_s2049"/>
                </a:ext>
                <a:ext uri="{FF2B5EF4-FFF2-40B4-BE49-F238E27FC236}">
                  <a16:creationId xmlns:a16="http://schemas.microsoft.com/office/drawing/2014/main" id="{00000000-0008-0000-0100-000001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Yes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142875</xdr:colOff>
          <xdr:row>12</xdr:row>
          <xdr:rowOff>47625</xdr:rowOff>
        </xdr:from>
        <xdr:to>
          <xdr:col>10</xdr:col>
          <xdr:colOff>47625</xdr:colOff>
          <xdr:row>13</xdr:row>
          <xdr:rowOff>0</xdr:rowOff>
        </xdr:to>
        <xdr:sp macro="" textlink="">
          <xdr:nvSpPr>
            <xdr:cNvPr id="2050" name="Check Box 2" hidden="1">
              <a:extLst>
                <a:ext uri="{63B3BB69-23CF-44E3-9099-C40C66FF867C}">
                  <a14:compatExt spid="_x0000_s2050"/>
                </a:ext>
                <a:ext uri="{FF2B5EF4-FFF2-40B4-BE49-F238E27FC236}">
                  <a16:creationId xmlns:a16="http://schemas.microsoft.com/office/drawing/2014/main" id="{00000000-0008-0000-0100-000002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85725</xdr:colOff>
          <xdr:row>4</xdr:row>
          <xdr:rowOff>47625</xdr:rowOff>
        </xdr:from>
        <xdr:to>
          <xdr:col>19</xdr:col>
          <xdr:colOff>238125</xdr:colOff>
          <xdr:row>5</xdr:row>
          <xdr:rowOff>0</xdr:rowOff>
        </xdr:to>
        <xdr:sp macro="" textlink="">
          <xdr:nvSpPr>
            <xdr:cNvPr id="2051" name="Check Box 3" hidden="1">
              <a:extLst>
                <a:ext uri="{63B3BB69-23CF-44E3-9099-C40C66FF867C}">
                  <a14:compatExt spid="_x0000_s2051"/>
                </a:ext>
                <a:ext uri="{FF2B5EF4-FFF2-40B4-BE49-F238E27FC236}">
                  <a16:creationId xmlns:a16="http://schemas.microsoft.com/office/drawing/2014/main" id="{00000000-0008-0000-0100-000003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Compliant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247650</xdr:colOff>
          <xdr:row>4</xdr:row>
          <xdr:rowOff>47625</xdr:rowOff>
        </xdr:from>
        <xdr:to>
          <xdr:col>21</xdr:col>
          <xdr:colOff>209550</xdr:colOff>
          <xdr:row>5</xdr:row>
          <xdr:rowOff>0</xdr:rowOff>
        </xdr:to>
        <xdr:sp macro="" textlink="">
          <xdr:nvSpPr>
            <xdr:cNvPr id="2052" name="Check Box 4" hidden="1">
              <a:extLst>
                <a:ext uri="{63B3BB69-23CF-44E3-9099-C40C66FF867C}">
                  <a14:compatExt spid="_x0000_s2052"/>
                </a:ext>
                <a:ext uri="{FF2B5EF4-FFF2-40B4-BE49-F238E27FC236}">
                  <a16:creationId xmlns:a16="http://schemas.microsoft.com/office/drawing/2014/main" id="{00000000-0008-0000-0100-000004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Non-Compliant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85725</xdr:colOff>
          <xdr:row>3</xdr:row>
          <xdr:rowOff>47625</xdr:rowOff>
        </xdr:from>
        <xdr:to>
          <xdr:col>19</xdr:col>
          <xdr:colOff>238125</xdr:colOff>
          <xdr:row>4</xdr:row>
          <xdr:rowOff>0</xdr:rowOff>
        </xdr:to>
        <xdr:sp macro="" textlink="">
          <xdr:nvSpPr>
            <xdr:cNvPr id="2063" name="Check Box 15" hidden="1">
              <a:extLst>
                <a:ext uri="{63B3BB69-23CF-44E3-9099-C40C66FF867C}">
                  <a14:compatExt spid="_x0000_s2063"/>
                </a:ext>
                <a:ext uri="{FF2B5EF4-FFF2-40B4-BE49-F238E27FC236}">
                  <a16:creationId xmlns:a16="http://schemas.microsoft.com/office/drawing/2014/main" id="{00000000-0008-0000-0100-00000F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Compliant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247650</xdr:colOff>
          <xdr:row>3</xdr:row>
          <xdr:rowOff>47625</xdr:rowOff>
        </xdr:from>
        <xdr:to>
          <xdr:col>21</xdr:col>
          <xdr:colOff>209550</xdr:colOff>
          <xdr:row>4</xdr:row>
          <xdr:rowOff>0</xdr:rowOff>
        </xdr:to>
        <xdr:sp macro="" textlink="">
          <xdr:nvSpPr>
            <xdr:cNvPr id="2064" name="Check Box 16" hidden="1">
              <a:extLst>
                <a:ext uri="{63B3BB69-23CF-44E3-9099-C40C66FF867C}">
                  <a14:compatExt spid="_x0000_s2064"/>
                </a:ext>
                <a:ext uri="{FF2B5EF4-FFF2-40B4-BE49-F238E27FC236}">
                  <a16:creationId xmlns:a16="http://schemas.microsoft.com/office/drawing/2014/main" id="{00000000-0008-0000-0100-000010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Non-Compliant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85725</xdr:colOff>
          <xdr:row>2</xdr:row>
          <xdr:rowOff>47625</xdr:rowOff>
        </xdr:from>
        <xdr:to>
          <xdr:col>19</xdr:col>
          <xdr:colOff>238125</xdr:colOff>
          <xdr:row>3</xdr:row>
          <xdr:rowOff>0</xdr:rowOff>
        </xdr:to>
        <xdr:sp macro="" textlink="">
          <xdr:nvSpPr>
            <xdr:cNvPr id="2065" name="Check Box 17" hidden="1">
              <a:extLst>
                <a:ext uri="{63B3BB69-23CF-44E3-9099-C40C66FF867C}">
                  <a14:compatExt spid="_x0000_s2065"/>
                </a:ext>
                <a:ext uri="{FF2B5EF4-FFF2-40B4-BE49-F238E27FC236}">
                  <a16:creationId xmlns:a16="http://schemas.microsoft.com/office/drawing/2014/main" id="{00000000-0008-0000-0100-000011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Compliant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247650</xdr:colOff>
          <xdr:row>2</xdr:row>
          <xdr:rowOff>47625</xdr:rowOff>
        </xdr:from>
        <xdr:to>
          <xdr:col>21</xdr:col>
          <xdr:colOff>209550</xdr:colOff>
          <xdr:row>3</xdr:row>
          <xdr:rowOff>0</xdr:rowOff>
        </xdr:to>
        <xdr:sp macro="" textlink="">
          <xdr:nvSpPr>
            <xdr:cNvPr id="2066" name="Check Box 18" hidden="1">
              <a:extLst>
                <a:ext uri="{63B3BB69-23CF-44E3-9099-C40C66FF867C}">
                  <a14:compatExt spid="_x0000_s2066"/>
                </a:ext>
                <a:ext uri="{FF2B5EF4-FFF2-40B4-BE49-F238E27FC236}">
                  <a16:creationId xmlns:a16="http://schemas.microsoft.com/office/drawing/2014/main" id="{00000000-0008-0000-0100-000012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Non-Compliant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85725</xdr:colOff>
          <xdr:row>1</xdr:row>
          <xdr:rowOff>47625</xdr:rowOff>
        </xdr:from>
        <xdr:to>
          <xdr:col>19</xdr:col>
          <xdr:colOff>238125</xdr:colOff>
          <xdr:row>2</xdr:row>
          <xdr:rowOff>0</xdr:rowOff>
        </xdr:to>
        <xdr:sp macro="" textlink="">
          <xdr:nvSpPr>
            <xdr:cNvPr id="2067" name="Check Box 19" hidden="1">
              <a:extLst>
                <a:ext uri="{63B3BB69-23CF-44E3-9099-C40C66FF867C}">
                  <a14:compatExt spid="_x0000_s2067"/>
                </a:ext>
                <a:ext uri="{FF2B5EF4-FFF2-40B4-BE49-F238E27FC236}">
                  <a16:creationId xmlns:a16="http://schemas.microsoft.com/office/drawing/2014/main" id="{00000000-0008-0000-0100-000013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Compliant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247650</xdr:colOff>
          <xdr:row>1</xdr:row>
          <xdr:rowOff>47625</xdr:rowOff>
        </xdr:from>
        <xdr:to>
          <xdr:col>21</xdr:col>
          <xdr:colOff>209550</xdr:colOff>
          <xdr:row>2</xdr:row>
          <xdr:rowOff>0</xdr:rowOff>
        </xdr:to>
        <xdr:sp macro="" textlink="">
          <xdr:nvSpPr>
            <xdr:cNvPr id="2068" name="Check Box 20" hidden="1">
              <a:extLst>
                <a:ext uri="{63B3BB69-23CF-44E3-9099-C40C66FF867C}">
                  <a14:compatExt spid="_x0000_s2068"/>
                </a:ext>
                <a:ext uri="{FF2B5EF4-FFF2-40B4-BE49-F238E27FC236}">
                  <a16:creationId xmlns:a16="http://schemas.microsoft.com/office/drawing/2014/main" id="{00000000-0008-0000-0100-000014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Non-Compliant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85725</xdr:colOff>
          <xdr:row>0</xdr:row>
          <xdr:rowOff>47625</xdr:rowOff>
        </xdr:from>
        <xdr:to>
          <xdr:col>19</xdr:col>
          <xdr:colOff>238125</xdr:colOff>
          <xdr:row>1</xdr:row>
          <xdr:rowOff>0</xdr:rowOff>
        </xdr:to>
        <xdr:sp macro="" textlink="">
          <xdr:nvSpPr>
            <xdr:cNvPr id="2069" name="Check Box 21" hidden="1">
              <a:extLst>
                <a:ext uri="{63B3BB69-23CF-44E3-9099-C40C66FF867C}">
                  <a14:compatExt spid="_x0000_s2069"/>
                </a:ext>
                <a:ext uri="{FF2B5EF4-FFF2-40B4-BE49-F238E27FC236}">
                  <a16:creationId xmlns:a16="http://schemas.microsoft.com/office/drawing/2014/main" id="{00000000-0008-0000-0100-000015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Compliant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247650</xdr:colOff>
          <xdr:row>0</xdr:row>
          <xdr:rowOff>47625</xdr:rowOff>
        </xdr:from>
        <xdr:to>
          <xdr:col>21</xdr:col>
          <xdr:colOff>209550</xdr:colOff>
          <xdr:row>1</xdr:row>
          <xdr:rowOff>0</xdr:rowOff>
        </xdr:to>
        <xdr:sp macro="" textlink="">
          <xdr:nvSpPr>
            <xdr:cNvPr id="2070" name="Check Box 22" hidden="1">
              <a:extLst>
                <a:ext uri="{63B3BB69-23CF-44E3-9099-C40C66FF867C}">
                  <a14:compatExt spid="_x0000_s2070"/>
                </a:ext>
                <a:ext uri="{FF2B5EF4-FFF2-40B4-BE49-F238E27FC236}">
                  <a16:creationId xmlns:a16="http://schemas.microsoft.com/office/drawing/2014/main" id="{00000000-0008-0000-0100-000016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US" sz="800" b="0" i="0" u="none" strike="noStrike" baseline="0">
                  <a:solidFill>
                    <a:srgbClr val="000000"/>
                  </a:solidFill>
                  <a:latin typeface="Tahoma"/>
                  <a:ea typeface="Tahoma"/>
                  <a:cs typeface="Tahoma"/>
                </a:rPr>
                <a:t>Non-Compliant</a:t>
              </a:r>
            </a:p>
          </xdr:txBody>
        </xdr:sp>
        <xdr:clientData/>
      </xdr:twoCellAnchor>
    </mc:Choice>
    <mc:Fallback/>
  </mc:AlternateContent>
</xdr:wsDr>
</file>

<file path=xl/drawings/drawing3.xml><?xml version="1.0" encoding="utf-8"?>
<xdr:wsDr xmlns:xdr="http://schemas.openxmlformats.org/drawingml/2006/spreadsheetDrawing" xmlns:a="http://schemas.openxmlformats.org/drawingml/2006/main">
  <xdr:twoCellAnchor>
    <xdr:from>
      <xdr:col>0</xdr:col>
      <xdr:colOff>38100</xdr:colOff>
      <xdr:row>1</xdr:row>
      <xdr:rowOff>123825</xdr:rowOff>
    </xdr:from>
    <xdr:to>
      <xdr:col>2</xdr:col>
      <xdr:colOff>942975</xdr:colOff>
      <xdr:row>4</xdr:row>
      <xdr:rowOff>85725</xdr:rowOff>
    </xdr:to>
    <xdr:pic>
      <xdr:nvPicPr>
        <xdr:cNvPr id="2058" name="Picture 10">
          <a:extLst>
            <a:ext uri="{FF2B5EF4-FFF2-40B4-BE49-F238E27FC236}">
              <a16:creationId xmlns:a16="http://schemas.microsoft.com/office/drawing/2014/main" id="{00000000-0008-0000-0200-00000A080000}"/>
            </a:ext>
          </a:extLst>
        </xdr:cNvPr>
        <xdr:cNvPicPr>
          <a:picLocks noChangeAspect="1" noChangeArrowheads="1"/>
        </xdr:cNvPicPr>
      </xdr:nvPicPr>
      <xdr:blipFill>
        <a:blip xmlns:r="http://schemas.openxmlformats.org/officeDocument/2006/relationships" r:embed="rId1" cstate="print">
          <a:clrChange>
            <a:clrFrom>
              <a:srgbClr val="FFFFFF"/>
            </a:clrFrom>
            <a:clrTo>
              <a:srgbClr val="FFFFFF">
                <a:alpha val="0"/>
              </a:srgbClr>
            </a:clrTo>
          </a:clrChange>
        </a:blip>
        <a:srcRect/>
        <a:stretch>
          <a:fillRect/>
        </a:stretch>
      </xdr:blipFill>
      <xdr:spPr bwMode="auto">
        <a:xfrm>
          <a:off x="38100" y="352425"/>
          <a:ext cx="3876675" cy="1466850"/>
        </a:xfrm>
        <a:prstGeom prst="rect">
          <a:avLst/>
        </a:prstGeom>
        <a:noFill/>
      </xdr:spPr>
    </xdr:pic>
    <xdr:clientData/>
  </xdr:twoCellAnchor>
  <xdr:twoCellAnchor>
    <xdr:from>
      <xdr:col>0</xdr:col>
      <xdr:colOff>838200</xdr:colOff>
      <xdr:row>8</xdr:row>
      <xdr:rowOff>180975</xdr:rowOff>
    </xdr:from>
    <xdr:to>
      <xdr:col>3</xdr:col>
      <xdr:colOff>1466850</xdr:colOff>
      <xdr:row>11</xdr:row>
      <xdr:rowOff>19050</xdr:rowOff>
    </xdr:to>
    <xdr:pic>
      <xdr:nvPicPr>
        <xdr:cNvPr id="2057" name="Picture 9">
          <a:extLst>
            <a:ext uri="{FF2B5EF4-FFF2-40B4-BE49-F238E27FC236}">
              <a16:creationId xmlns:a16="http://schemas.microsoft.com/office/drawing/2014/main" id="{00000000-0008-0000-0200-000009080000}"/>
            </a:ext>
          </a:extLst>
        </xdr:cNvPr>
        <xdr:cNvPicPr>
          <a:picLocks noChangeAspect="1" noChangeArrowheads="1"/>
        </xdr:cNvPicPr>
      </xdr:nvPicPr>
      <xdr:blipFill>
        <a:blip xmlns:r="http://schemas.openxmlformats.org/officeDocument/2006/relationships" r:embed="rId2" cstate="print">
          <a:clrChange>
            <a:clrFrom>
              <a:srgbClr val="FFFFFF"/>
            </a:clrFrom>
            <a:clrTo>
              <a:srgbClr val="FFFFFF">
                <a:alpha val="0"/>
              </a:srgbClr>
            </a:clrTo>
          </a:clrChange>
        </a:blip>
        <a:srcRect/>
        <a:stretch>
          <a:fillRect/>
        </a:stretch>
      </xdr:blipFill>
      <xdr:spPr bwMode="auto">
        <a:xfrm>
          <a:off x="838200" y="1857375"/>
          <a:ext cx="5086350" cy="371475"/>
        </a:xfrm>
        <a:prstGeom prst="rect">
          <a:avLst/>
        </a:prstGeom>
        <a:noFill/>
      </xdr:spPr>
    </xdr:pic>
    <xdr:clientData/>
  </xdr:twoCellAnchor>
  <xdr:twoCellAnchor>
    <xdr:from>
      <xdr:col>0</xdr:col>
      <xdr:colOff>38100</xdr:colOff>
      <xdr:row>12</xdr:row>
      <xdr:rowOff>38100</xdr:rowOff>
    </xdr:from>
    <xdr:to>
      <xdr:col>2</xdr:col>
      <xdr:colOff>809625</xdr:colOff>
      <xdr:row>13</xdr:row>
      <xdr:rowOff>57150</xdr:rowOff>
    </xdr:to>
    <xdr:pic>
      <xdr:nvPicPr>
        <xdr:cNvPr id="2056" name="Picture 8">
          <a:extLst>
            <a:ext uri="{FF2B5EF4-FFF2-40B4-BE49-F238E27FC236}">
              <a16:creationId xmlns:a16="http://schemas.microsoft.com/office/drawing/2014/main" id="{00000000-0008-0000-0200-000008080000}"/>
            </a:ext>
          </a:extLst>
        </xdr:cNvPr>
        <xdr:cNvPicPr>
          <a:picLocks noChangeAspect="1" noChangeArrowheads="1"/>
        </xdr:cNvPicPr>
      </xdr:nvPicPr>
      <xdr:blipFill>
        <a:blip xmlns:r="http://schemas.openxmlformats.org/officeDocument/2006/relationships" r:embed="rId3" cstate="print">
          <a:clrChange>
            <a:clrFrom>
              <a:srgbClr val="FFFFFF"/>
            </a:clrFrom>
            <a:clrTo>
              <a:srgbClr val="FFFFFF">
                <a:alpha val="0"/>
              </a:srgbClr>
            </a:clrTo>
          </a:clrChange>
        </a:blip>
        <a:srcRect/>
        <a:stretch>
          <a:fillRect/>
        </a:stretch>
      </xdr:blipFill>
      <xdr:spPr bwMode="auto">
        <a:xfrm>
          <a:off x="38100" y="1981200"/>
          <a:ext cx="3743325" cy="190500"/>
        </a:xfrm>
        <a:prstGeom prst="rect">
          <a:avLst/>
        </a:prstGeom>
        <a:noFill/>
      </xdr:spPr>
    </xdr:pic>
    <xdr:clientData/>
  </xdr:twoCellAnchor>
  <xdr:twoCellAnchor>
    <xdr:from>
      <xdr:col>0</xdr:col>
      <xdr:colOff>38100</xdr:colOff>
      <xdr:row>14</xdr:row>
      <xdr:rowOff>28575</xdr:rowOff>
    </xdr:from>
    <xdr:to>
      <xdr:col>5</xdr:col>
      <xdr:colOff>1152525</xdr:colOff>
      <xdr:row>15</xdr:row>
      <xdr:rowOff>47625</xdr:rowOff>
    </xdr:to>
    <xdr:pic>
      <xdr:nvPicPr>
        <xdr:cNvPr id="2055" name="Picture 7">
          <a:extLst>
            <a:ext uri="{FF2B5EF4-FFF2-40B4-BE49-F238E27FC236}">
              <a16:creationId xmlns:a16="http://schemas.microsoft.com/office/drawing/2014/main" id="{00000000-0008-0000-0200-000007080000}"/>
            </a:ext>
          </a:extLst>
        </xdr:cNvPr>
        <xdr:cNvPicPr>
          <a:picLocks noChangeAspect="1" noChangeArrowheads="1"/>
        </xdr:cNvPicPr>
      </xdr:nvPicPr>
      <xdr:blipFill>
        <a:blip xmlns:r="http://schemas.openxmlformats.org/officeDocument/2006/relationships" r:embed="rId4" cstate="print">
          <a:clrChange>
            <a:clrFrom>
              <a:srgbClr val="FFFFFF"/>
            </a:clrFrom>
            <a:clrTo>
              <a:srgbClr val="FFFFFF">
                <a:alpha val="0"/>
              </a:srgbClr>
            </a:clrTo>
          </a:clrChange>
        </a:blip>
        <a:srcRect/>
        <a:stretch>
          <a:fillRect/>
        </a:stretch>
      </xdr:blipFill>
      <xdr:spPr bwMode="auto">
        <a:xfrm>
          <a:off x="38100" y="2486025"/>
          <a:ext cx="8543925" cy="190500"/>
        </a:xfrm>
        <a:prstGeom prst="rect">
          <a:avLst/>
        </a:prstGeom>
        <a:noFill/>
      </xdr:spPr>
    </xdr:pic>
    <xdr:clientData/>
  </xdr:twoCellAnchor>
  <xdr:twoCellAnchor>
    <xdr:from>
      <xdr:col>0</xdr:col>
      <xdr:colOff>857250</xdr:colOff>
      <xdr:row>6</xdr:row>
      <xdr:rowOff>47625</xdr:rowOff>
    </xdr:from>
    <xdr:to>
      <xdr:col>3</xdr:col>
      <xdr:colOff>266700</xdr:colOff>
      <xdr:row>7</xdr:row>
      <xdr:rowOff>47625</xdr:rowOff>
    </xdr:to>
    <xdr:pic>
      <xdr:nvPicPr>
        <xdr:cNvPr id="2049" name="Picture 1">
          <a:extLst>
            <a:ext uri="{FF2B5EF4-FFF2-40B4-BE49-F238E27FC236}">
              <a16:creationId xmlns:a16="http://schemas.microsoft.com/office/drawing/2014/main" id="{00000000-0008-0000-0200-000001080000}"/>
            </a:ext>
          </a:extLst>
        </xdr:cNvPr>
        <xdr:cNvPicPr>
          <a:picLocks noChangeAspect="1" noChangeArrowheads="1"/>
        </xdr:cNvPicPr>
      </xdr:nvPicPr>
      <xdr:blipFill>
        <a:blip xmlns:r="http://schemas.openxmlformats.org/officeDocument/2006/relationships" r:embed="rId5" cstate="print">
          <a:clrChange>
            <a:clrFrom>
              <a:srgbClr val="FFFFFF"/>
            </a:clrFrom>
            <a:clrTo>
              <a:srgbClr val="FFFFFF">
                <a:alpha val="0"/>
              </a:srgbClr>
            </a:clrTo>
          </a:clrChange>
        </a:blip>
        <a:srcRect/>
        <a:stretch>
          <a:fillRect/>
        </a:stretch>
      </xdr:blipFill>
      <xdr:spPr bwMode="auto">
        <a:xfrm>
          <a:off x="857250" y="1190625"/>
          <a:ext cx="3867150" cy="190500"/>
        </a:xfrm>
        <a:prstGeom prst="rect">
          <a:avLst/>
        </a:prstGeom>
        <a:noFill/>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15.xml"/><Relationship Id="rId13" Type="http://schemas.openxmlformats.org/officeDocument/2006/relationships/ctrlProp" Target="../ctrlProps/ctrlProp20.xml"/><Relationship Id="rId3" Type="http://schemas.openxmlformats.org/officeDocument/2006/relationships/vmlDrawing" Target="../drawings/vmlDrawing2.vml"/><Relationship Id="rId7" Type="http://schemas.openxmlformats.org/officeDocument/2006/relationships/ctrlProp" Target="../ctrlProps/ctrlProp14.xml"/><Relationship Id="rId12" Type="http://schemas.openxmlformats.org/officeDocument/2006/relationships/ctrlProp" Target="../ctrlProps/ctrlProp19.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13.xml"/><Relationship Id="rId11" Type="http://schemas.openxmlformats.org/officeDocument/2006/relationships/ctrlProp" Target="../ctrlProps/ctrlProp18.xml"/><Relationship Id="rId5" Type="http://schemas.openxmlformats.org/officeDocument/2006/relationships/ctrlProp" Target="../ctrlProps/ctrlProp12.xml"/><Relationship Id="rId15" Type="http://schemas.openxmlformats.org/officeDocument/2006/relationships/ctrlProp" Target="../ctrlProps/ctrlProp22.xml"/><Relationship Id="rId10" Type="http://schemas.openxmlformats.org/officeDocument/2006/relationships/ctrlProp" Target="../ctrlProps/ctrlProp17.xml"/><Relationship Id="rId4" Type="http://schemas.openxmlformats.org/officeDocument/2006/relationships/ctrlProp" Target="../ctrlProps/ctrlProp11.xml"/><Relationship Id="rId9" Type="http://schemas.openxmlformats.org/officeDocument/2006/relationships/ctrlProp" Target="../ctrlProps/ctrlProp16.xml"/><Relationship Id="rId14" Type="http://schemas.openxmlformats.org/officeDocument/2006/relationships/ctrlProp" Target="../ctrlProps/ctrlProp2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42"/>
  <sheetViews>
    <sheetView tabSelected="1" zoomScale="80" zoomScaleNormal="80" workbookViewId="0">
      <selection activeCell="D1" sqref="D1:F1"/>
    </sheetView>
  </sheetViews>
  <sheetFormatPr defaultColWidth="9.140625" defaultRowHeight="12.75" x14ac:dyDescent="0.2"/>
  <cols>
    <col min="1" max="1" width="3.140625" style="27" customWidth="1"/>
    <col min="2" max="2" width="5.7109375" style="27" customWidth="1"/>
    <col min="3" max="6" width="5.7109375" style="1" customWidth="1"/>
    <col min="7" max="7" width="9.42578125" style="1" customWidth="1"/>
    <col min="8" max="8" width="7.7109375" style="1" customWidth="1"/>
    <col min="9" max="10" width="8.5703125" style="1" customWidth="1"/>
    <col min="11" max="11" width="9.42578125" style="1" customWidth="1"/>
    <col min="12" max="12" width="7.7109375" style="1" customWidth="1"/>
    <col min="13" max="14" width="8.5703125" style="1" customWidth="1"/>
    <col min="15" max="15" width="9.42578125" style="1" customWidth="1"/>
    <col min="16" max="16" width="7.7109375" style="1" customWidth="1"/>
    <col min="17" max="18" width="8.5703125" style="1" customWidth="1"/>
    <col min="19" max="19" width="9.42578125" style="1" customWidth="1"/>
    <col min="20" max="20" width="7.7109375" style="1" customWidth="1"/>
    <col min="21" max="22" width="8.7109375" style="1" customWidth="1"/>
    <col min="23" max="16384" width="9.140625" style="1"/>
  </cols>
  <sheetData>
    <row r="1" spans="1:23" ht="22.5" customHeight="1" thickBot="1" x14ac:dyDescent="0.25">
      <c r="A1" s="139" t="s">
        <v>181</v>
      </c>
      <c r="B1" s="140"/>
      <c r="C1" s="140"/>
      <c r="D1" s="133"/>
      <c r="E1" s="133"/>
      <c r="F1" s="134"/>
      <c r="G1" s="131" t="s">
        <v>3</v>
      </c>
      <c r="H1" s="132"/>
      <c r="I1" s="133"/>
      <c r="J1" s="133"/>
      <c r="K1" s="133"/>
      <c r="L1" s="133"/>
      <c r="M1" s="133"/>
      <c r="N1" s="134"/>
      <c r="O1" s="43" t="s">
        <v>6</v>
      </c>
      <c r="P1" s="129"/>
      <c r="Q1" s="130"/>
      <c r="R1" s="43" t="s">
        <v>4</v>
      </c>
      <c r="S1" s="129"/>
      <c r="T1" s="130"/>
      <c r="U1" s="14" t="s">
        <v>5</v>
      </c>
      <c r="V1" s="44"/>
      <c r="W1" s="2"/>
    </row>
    <row r="2" spans="1:23" ht="18.75" customHeight="1" x14ac:dyDescent="0.2">
      <c r="A2" s="151" t="s">
        <v>176</v>
      </c>
      <c r="B2" s="152"/>
      <c r="C2" s="152"/>
      <c r="D2" s="152"/>
      <c r="E2" s="152"/>
      <c r="F2" s="152"/>
      <c r="G2" s="137" t="s">
        <v>142</v>
      </c>
      <c r="H2" s="138"/>
      <c r="I2" s="144"/>
      <c r="J2" s="145"/>
      <c r="K2" s="161" t="s">
        <v>142</v>
      </c>
      <c r="L2" s="162"/>
      <c r="M2" s="135"/>
      <c r="N2" s="136"/>
      <c r="O2" s="137" t="s">
        <v>142</v>
      </c>
      <c r="P2" s="138"/>
      <c r="Q2" s="144"/>
      <c r="R2" s="145"/>
      <c r="S2" s="161" t="s">
        <v>142</v>
      </c>
      <c r="T2" s="162"/>
      <c r="U2" s="135"/>
      <c r="V2" s="171"/>
    </row>
    <row r="3" spans="1:23" ht="18.75" customHeight="1" x14ac:dyDescent="0.2">
      <c r="A3" s="153"/>
      <c r="B3" s="152"/>
      <c r="C3" s="152"/>
      <c r="D3" s="152"/>
      <c r="E3" s="152"/>
      <c r="F3" s="152"/>
      <c r="G3" s="146" t="s">
        <v>143</v>
      </c>
      <c r="H3" s="147"/>
      <c r="I3" s="123"/>
      <c r="J3" s="124"/>
      <c r="K3" s="125" t="s">
        <v>143</v>
      </c>
      <c r="L3" s="126"/>
      <c r="M3" s="127"/>
      <c r="N3" s="128"/>
      <c r="O3" s="146" t="s">
        <v>143</v>
      </c>
      <c r="P3" s="147"/>
      <c r="Q3" s="123"/>
      <c r="R3" s="124"/>
      <c r="S3" s="125" t="s">
        <v>143</v>
      </c>
      <c r="T3" s="126"/>
      <c r="U3" s="127"/>
      <c r="V3" s="150"/>
    </row>
    <row r="4" spans="1:23" ht="18.75" customHeight="1" x14ac:dyDescent="0.2">
      <c r="A4" s="153"/>
      <c r="B4" s="152"/>
      <c r="C4" s="152"/>
      <c r="D4" s="152"/>
      <c r="E4" s="152"/>
      <c r="F4" s="152"/>
      <c r="G4" s="146" t="s">
        <v>144</v>
      </c>
      <c r="H4" s="122"/>
      <c r="I4" s="123"/>
      <c r="J4" s="124"/>
      <c r="K4" s="125" t="s">
        <v>144</v>
      </c>
      <c r="L4" s="120"/>
      <c r="M4" s="127"/>
      <c r="N4" s="128"/>
      <c r="O4" s="146" t="s">
        <v>144</v>
      </c>
      <c r="P4" s="122"/>
      <c r="Q4" s="123"/>
      <c r="R4" s="124"/>
      <c r="S4" s="125" t="s">
        <v>144</v>
      </c>
      <c r="T4" s="120"/>
      <c r="U4" s="127"/>
      <c r="V4" s="150"/>
    </row>
    <row r="5" spans="1:23" ht="18.75" customHeight="1" x14ac:dyDescent="0.2">
      <c r="A5" s="154"/>
      <c r="B5" s="155"/>
      <c r="C5" s="155"/>
      <c r="D5" s="155"/>
      <c r="E5" s="155"/>
      <c r="F5" s="155"/>
      <c r="G5" s="146" t="s">
        <v>150</v>
      </c>
      <c r="H5" s="122"/>
      <c r="I5" s="123"/>
      <c r="J5" s="124"/>
      <c r="K5" s="125" t="s">
        <v>150</v>
      </c>
      <c r="L5" s="120"/>
      <c r="M5" s="127"/>
      <c r="N5" s="128"/>
      <c r="O5" s="146" t="s">
        <v>150</v>
      </c>
      <c r="P5" s="122"/>
      <c r="Q5" s="123"/>
      <c r="R5" s="124"/>
      <c r="S5" s="125" t="s">
        <v>150</v>
      </c>
      <c r="T5" s="120"/>
      <c r="U5" s="127"/>
      <c r="V5" s="150"/>
    </row>
    <row r="6" spans="1:23" ht="18.75" customHeight="1" thickBot="1" x14ac:dyDescent="0.25">
      <c r="A6" s="156"/>
      <c r="B6" s="157"/>
      <c r="C6" s="157"/>
      <c r="D6" s="157"/>
      <c r="E6" s="157"/>
      <c r="F6" s="157"/>
      <c r="G6" s="121" t="s">
        <v>151</v>
      </c>
      <c r="H6" s="122"/>
      <c r="I6" s="123"/>
      <c r="J6" s="172"/>
      <c r="K6" s="119" t="s">
        <v>151</v>
      </c>
      <c r="L6" s="120"/>
      <c r="M6" s="127"/>
      <c r="N6" s="128"/>
      <c r="O6" s="121" t="s">
        <v>151</v>
      </c>
      <c r="P6" s="122"/>
      <c r="Q6" s="123"/>
      <c r="R6" s="124"/>
      <c r="S6" s="119" t="s">
        <v>151</v>
      </c>
      <c r="T6" s="120"/>
      <c r="U6" s="127"/>
      <c r="V6" s="150"/>
    </row>
    <row r="7" spans="1:23" ht="18.75" customHeight="1" thickBot="1" x14ac:dyDescent="0.25">
      <c r="A7" s="141" t="s">
        <v>8</v>
      </c>
      <c r="B7" s="168" t="s">
        <v>183</v>
      </c>
      <c r="C7" s="169"/>
      <c r="D7" s="170"/>
      <c r="E7" s="148" t="s">
        <v>182</v>
      </c>
      <c r="F7" s="149"/>
      <c r="G7" s="121" t="s">
        <v>152</v>
      </c>
      <c r="H7" s="122"/>
      <c r="I7" s="26"/>
      <c r="J7" s="45"/>
      <c r="K7" s="119" t="s">
        <v>152</v>
      </c>
      <c r="L7" s="120"/>
      <c r="M7" s="20"/>
      <c r="N7" s="46"/>
      <c r="O7" s="121" t="s">
        <v>152</v>
      </c>
      <c r="P7" s="122"/>
      <c r="Q7" s="26"/>
      <c r="R7" s="45"/>
      <c r="S7" s="119" t="s">
        <v>152</v>
      </c>
      <c r="T7" s="120"/>
      <c r="U7" s="20"/>
      <c r="V7" s="47"/>
    </row>
    <row r="8" spans="1:23" ht="75" customHeight="1" x14ac:dyDescent="0.2">
      <c r="A8" s="142"/>
      <c r="B8" s="163" t="s">
        <v>138</v>
      </c>
      <c r="C8" s="15" t="s">
        <v>2</v>
      </c>
      <c r="D8" s="16" t="s">
        <v>139</v>
      </c>
      <c r="E8" s="116" t="s">
        <v>184</v>
      </c>
      <c r="F8" s="108" t="s">
        <v>185</v>
      </c>
      <c r="G8" s="28" t="s">
        <v>145</v>
      </c>
      <c r="H8" s="11" t="s">
        <v>177</v>
      </c>
      <c r="I8" s="11" t="s">
        <v>147</v>
      </c>
      <c r="J8" s="29" t="s">
        <v>149</v>
      </c>
      <c r="K8" s="32" t="s">
        <v>145</v>
      </c>
      <c r="L8" s="10" t="s">
        <v>175</v>
      </c>
      <c r="M8" s="10" t="s">
        <v>147</v>
      </c>
      <c r="N8" s="33" t="s">
        <v>149</v>
      </c>
      <c r="O8" s="28" t="s">
        <v>145</v>
      </c>
      <c r="P8" s="11" t="s">
        <v>177</v>
      </c>
      <c r="Q8" s="11" t="s">
        <v>147</v>
      </c>
      <c r="R8" s="29" t="s">
        <v>149</v>
      </c>
      <c r="S8" s="32" t="s">
        <v>145</v>
      </c>
      <c r="T8" s="10" t="s">
        <v>177</v>
      </c>
      <c r="U8" s="10" t="s">
        <v>147</v>
      </c>
      <c r="V8" s="36" t="s">
        <v>149</v>
      </c>
    </row>
    <row r="9" spans="1:23" ht="15.75" customHeight="1" thickBot="1" x14ac:dyDescent="0.25">
      <c r="A9" s="143"/>
      <c r="B9" s="164"/>
      <c r="C9" s="19" t="s">
        <v>141</v>
      </c>
      <c r="D9" s="8" t="s">
        <v>140</v>
      </c>
      <c r="E9" s="117" t="s">
        <v>137</v>
      </c>
      <c r="F9" s="115" t="s">
        <v>137</v>
      </c>
      <c r="G9" s="30" t="s">
        <v>148</v>
      </c>
      <c r="H9" s="9" t="s">
        <v>146</v>
      </c>
      <c r="I9" s="9" t="s">
        <v>140</v>
      </c>
      <c r="J9" s="31" t="s">
        <v>140</v>
      </c>
      <c r="K9" s="34" t="s">
        <v>148</v>
      </c>
      <c r="L9" s="7" t="s">
        <v>146</v>
      </c>
      <c r="M9" s="7" t="s">
        <v>140</v>
      </c>
      <c r="N9" s="35" t="s">
        <v>140</v>
      </c>
      <c r="O9" s="30" t="s">
        <v>148</v>
      </c>
      <c r="P9" s="9" t="s">
        <v>146</v>
      </c>
      <c r="Q9" s="9" t="s">
        <v>140</v>
      </c>
      <c r="R9" s="31" t="s">
        <v>140</v>
      </c>
      <c r="S9" s="34" t="s">
        <v>148</v>
      </c>
      <c r="T9" s="7" t="s">
        <v>146</v>
      </c>
      <c r="U9" s="42" t="s">
        <v>140</v>
      </c>
      <c r="V9" s="101" t="s">
        <v>140</v>
      </c>
    </row>
    <row r="10" spans="1:23" ht="15" customHeight="1" x14ac:dyDescent="0.2">
      <c r="A10" s="5">
        <v>1</v>
      </c>
      <c r="B10" s="17"/>
      <c r="C10" s="18"/>
      <c r="D10" s="48"/>
      <c r="E10" s="112"/>
      <c r="F10" s="111"/>
      <c r="G10" s="51"/>
      <c r="H10" s="21"/>
      <c r="I10" s="55" t="str">
        <f t="shared" ref="I10:I17" si="0">IF((ISBLANK($G10))," ",($G10)/($I$3*27152))</f>
        <v xml:space="preserve"> </v>
      </c>
      <c r="J10" s="66" t="str">
        <f>IF((ISBLANK(H10)), " ", IF(H10&lt;60, I10, (I10/H10)*60))</f>
        <v xml:space="preserve"> </v>
      </c>
      <c r="K10" s="92"/>
      <c r="L10" s="93"/>
      <c r="M10" s="63" t="str">
        <f>IF((ISBLANK($K10))," ",($K10)/($M$3*27152))</f>
        <v xml:space="preserve"> </v>
      </c>
      <c r="N10" s="98" t="str">
        <f>IF((ISBLANK(L10)), " ", IF(L10&lt;60, M10, (M10/L10)*60))</f>
        <v xml:space="preserve"> </v>
      </c>
      <c r="O10" s="51"/>
      <c r="P10" s="21"/>
      <c r="Q10" s="55" t="str">
        <f>IF((ISBLANK($O10))," ",($O10)/($Q$3*27152))</f>
        <v xml:space="preserve"> </v>
      </c>
      <c r="R10" s="66" t="str">
        <f>IF((ISBLANK(P10)), " ", IF(P10&lt;60, Q10, (Q10/P10)*60))</f>
        <v xml:space="preserve"> </v>
      </c>
      <c r="S10" s="59"/>
      <c r="T10" s="23"/>
      <c r="U10" s="63" t="str">
        <f>IF((ISBLANK($S10))," ",($S10)/($U$3*27152))</f>
        <v xml:space="preserve"> </v>
      </c>
      <c r="V10" s="102" t="str">
        <f>IF((ISBLANK(T10)), " ", IF(T10&lt;60, U10, (U10/T10)*60))</f>
        <v xml:space="preserve"> </v>
      </c>
    </row>
    <row r="11" spans="1:23" ht="15" customHeight="1" x14ac:dyDescent="0.2">
      <c r="A11" s="5">
        <v>2</v>
      </c>
      <c r="B11" s="17"/>
      <c r="C11" s="3"/>
      <c r="D11" s="49"/>
      <c r="E11" s="113"/>
      <c r="F11" s="109"/>
      <c r="G11" s="52"/>
      <c r="H11" s="13"/>
      <c r="I11" s="56" t="str">
        <f t="shared" si="0"/>
        <v xml:space="preserve"> </v>
      </c>
      <c r="J11" s="67" t="str">
        <f t="shared" ref="J11:J40" si="1">IF((ISBLANK(H11)), " ", IF(H11&lt;60, I11, (I11/H11)*60))</f>
        <v xml:space="preserve"> </v>
      </c>
      <c r="K11" s="95"/>
      <c r="L11" s="3"/>
      <c r="M11" s="64" t="str">
        <f t="shared" ref="M11:M40" si="2">IF((ISBLANK($K11))," ",($K11)/($M$3*27152))</f>
        <v xml:space="preserve"> </v>
      </c>
      <c r="N11" s="100" t="str">
        <f t="shared" ref="N11:N40" si="3">IF((ISBLANK(L11)), " ", IF(L11&lt;60, M11, (M11/L11)*60))</f>
        <v xml:space="preserve"> </v>
      </c>
      <c r="O11" s="52"/>
      <c r="P11" s="13"/>
      <c r="Q11" s="56" t="str">
        <f>IF((ISBLANK($O11))," ",($O11)/($Q$3*27152))</f>
        <v xml:space="preserve"> </v>
      </c>
      <c r="R11" s="67" t="str">
        <f t="shared" ref="R11:R40" si="4">IF((ISBLANK(P11)), " ", IF(P11&lt;60, Q11, (Q11/P11)*60))</f>
        <v xml:space="preserve"> </v>
      </c>
      <c r="S11" s="60"/>
      <c r="T11" s="24"/>
      <c r="U11" s="64" t="str">
        <f>IF((ISBLANK($S11))," ",($S11)/($U$3*27152))</f>
        <v xml:space="preserve"> </v>
      </c>
      <c r="V11" s="103" t="str">
        <f t="shared" ref="V11:V40" si="5">IF((ISBLANK(T11)), " ", IF(T11&lt;60, U11, (U11/T11)*60))</f>
        <v xml:space="preserve"> </v>
      </c>
    </row>
    <row r="12" spans="1:23" ht="15" customHeight="1" x14ac:dyDescent="0.2">
      <c r="A12" s="5">
        <v>3</v>
      </c>
      <c r="B12" s="17"/>
      <c r="C12" s="3"/>
      <c r="D12" s="49"/>
      <c r="E12" s="113"/>
      <c r="F12" s="109"/>
      <c r="G12" s="52"/>
      <c r="H12" s="13"/>
      <c r="I12" s="56" t="str">
        <f t="shared" si="0"/>
        <v xml:space="preserve"> </v>
      </c>
      <c r="J12" s="67" t="str">
        <f t="shared" si="1"/>
        <v xml:space="preserve"> </v>
      </c>
      <c r="K12" s="95"/>
      <c r="L12" s="3"/>
      <c r="M12" s="64" t="str">
        <f t="shared" si="2"/>
        <v xml:space="preserve"> </v>
      </c>
      <c r="N12" s="100" t="str">
        <f t="shared" si="3"/>
        <v xml:space="preserve"> </v>
      </c>
      <c r="O12" s="52"/>
      <c r="P12" s="13"/>
      <c r="Q12" s="56" t="str">
        <f t="shared" ref="Q12:Q40" si="6">IF((ISBLANK($O12))," ",($O12)/($Q$3*27152))</f>
        <v xml:space="preserve"> </v>
      </c>
      <c r="R12" s="67" t="str">
        <f t="shared" si="4"/>
        <v xml:space="preserve"> </v>
      </c>
      <c r="S12" s="60"/>
      <c r="T12" s="24"/>
      <c r="U12" s="64" t="str">
        <f t="shared" ref="U12:U40" si="7">IF((ISBLANK($S12))," ",($S12)/($U$3*27152))</f>
        <v xml:space="preserve"> </v>
      </c>
      <c r="V12" s="103" t="str">
        <f t="shared" si="5"/>
        <v xml:space="preserve"> </v>
      </c>
    </row>
    <row r="13" spans="1:23" ht="15" customHeight="1" x14ac:dyDescent="0.2">
      <c r="A13" s="5">
        <v>4</v>
      </c>
      <c r="B13" s="17"/>
      <c r="C13" s="3"/>
      <c r="D13" s="49"/>
      <c r="E13" s="113"/>
      <c r="F13" s="109"/>
      <c r="G13" s="52"/>
      <c r="H13" s="13"/>
      <c r="I13" s="56" t="str">
        <f t="shared" si="0"/>
        <v xml:space="preserve"> </v>
      </c>
      <c r="J13" s="67" t="str">
        <f t="shared" si="1"/>
        <v xml:space="preserve"> </v>
      </c>
      <c r="K13" s="95"/>
      <c r="L13" s="3"/>
      <c r="M13" s="64" t="str">
        <f t="shared" si="2"/>
        <v xml:space="preserve"> </v>
      </c>
      <c r="N13" s="100" t="str">
        <f t="shared" si="3"/>
        <v xml:space="preserve"> </v>
      </c>
      <c r="O13" s="52"/>
      <c r="P13" s="13"/>
      <c r="Q13" s="56" t="str">
        <f t="shared" si="6"/>
        <v xml:space="preserve"> </v>
      </c>
      <c r="R13" s="67" t="str">
        <f t="shared" si="4"/>
        <v xml:space="preserve"> </v>
      </c>
      <c r="S13" s="60"/>
      <c r="T13" s="24"/>
      <c r="U13" s="64" t="str">
        <f t="shared" si="7"/>
        <v xml:space="preserve"> </v>
      </c>
      <c r="V13" s="103" t="str">
        <f t="shared" si="5"/>
        <v xml:space="preserve"> </v>
      </c>
    </row>
    <row r="14" spans="1:23" ht="15" customHeight="1" x14ac:dyDescent="0.2">
      <c r="A14" s="5">
        <v>5</v>
      </c>
      <c r="B14" s="17"/>
      <c r="C14" s="3"/>
      <c r="D14" s="49"/>
      <c r="E14" s="113"/>
      <c r="F14" s="109"/>
      <c r="G14" s="52"/>
      <c r="H14" s="13"/>
      <c r="I14" s="56" t="str">
        <f t="shared" si="0"/>
        <v xml:space="preserve"> </v>
      </c>
      <c r="J14" s="67" t="str">
        <f t="shared" si="1"/>
        <v xml:space="preserve"> </v>
      </c>
      <c r="K14" s="95"/>
      <c r="L14" s="3"/>
      <c r="M14" s="64" t="str">
        <f t="shared" si="2"/>
        <v xml:space="preserve"> </v>
      </c>
      <c r="N14" s="100" t="str">
        <f t="shared" si="3"/>
        <v xml:space="preserve"> </v>
      </c>
      <c r="O14" s="52"/>
      <c r="P14" s="13"/>
      <c r="Q14" s="56" t="str">
        <f t="shared" si="6"/>
        <v xml:space="preserve"> </v>
      </c>
      <c r="R14" s="67" t="str">
        <f t="shared" si="4"/>
        <v xml:space="preserve"> </v>
      </c>
      <c r="S14" s="60"/>
      <c r="T14" s="24"/>
      <c r="U14" s="64" t="str">
        <f t="shared" si="7"/>
        <v xml:space="preserve"> </v>
      </c>
      <c r="V14" s="103" t="str">
        <f t="shared" si="5"/>
        <v xml:space="preserve"> </v>
      </c>
    </row>
    <row r="15" spans="1:23" ht="15" customHeight="1" x14ac:dyDescent="0.2">
      <c r="A15" s="5">
        <v>6</v>
      </c>
      <c r="B15" s="17"/>
      <c r="C15" s="3"/>
      <c r="D15" s="49"/>
      <c r="E15" s="113"/>
      <c r="F15" s="109"/>
      <c r="G15" s="52"/>
      <c r="H15" s="13"/>
      <c r="I15" s="56" t="str">
        <f t="shared" si="0"/>
        <v xml:space="preserve"> </v>
      </c>
      <c r="J15" s="67" t="str">
        <f t="shared" si="1"/>
        <v xml:space="preserve"> </v>
      </c>
      <c r="K15" s="95"/>
      <c r="L15" s="3"/>
      <c r="M15" s="64" t="str">
        <f t="shared" si="2"/>
        <v xml:space="preserve"> </v>
      </c>
      <c r="N15" s="100" t="str">
        <f t="shared" si="3"/>
        <v xml:space="preserve"> </v>
      </c>
      <c r="O15" s="52"/>
      <c r="P15" s="13"/>
      <c r="Q15" s="56" t="str">
        <f t="shared" si="6"/>
        <v xml:space="preserve"> </v>
      </c>
      <c r="R15" s="67" t="str">
        <f t="shared" si="4"/>
        <v xml:space="preserve"> </v>
      </c>
      <c r="S15" s="60"/>
      <c r="T15" s="24"/>
      <c r="U15" s="64" t="str">
        <f t="shared" si="7"/>
        <v xml:space="preserve"> </v>
      </c>
      <c r="V15" s="103" t="str">
        <f t="shared" si="5"/>
        <v xml:space="preserve"> </v>
      </c>
    </row>
    <row r="16" spans="1:23" ht="15" customHeight="1" x14ac:dyDescent="0.2">
      <c r="A16" s="5">
        <v>7</v>
      </c>
      <c r="B16" s="17"/>
      <c r="C16" s="3"/>
      <c r="D16" s="49"/>
      <c r="E16" s="113"/>
      <c r="F16" s="109"/>
      <c r="G16" s="52"/>
      <c r="H16" s="13"/>
      <c r="I16" s="56" t="str">
        <f t="shared" si="0"/>
        <v xml:space="preserve"> </v>
      </c>
      <c r="J16" s="67" t="str">
        <f t="shared" si="1"/>
        <v xml:space="preserve"> </v>
      </c>
      <c r="K16" s="95"/>
      <c r="L16" s="3"/>
      <c r="M16" s="64" t="str">
        <f t="shared" si="2"/>
        <v xml:space="preserve"> </v>
      </c>
      <c r="N16" s="100" t="str">
        <f t="shared" si="3"/>
        <v xml:space="preserve"> </v>
      </c>
      <c r="O16" s="52"/>
      <c r="P16" s="13"/>
      <c r="Q16" s="56" t="str">
        <f t="shared" si="6"/>
        <v xml:space="preserve"> </v>
      </c>
      <c r="R16" s="67" t="str">
        <f t="shared" si="4"/>
        <v xml:space="preserve"> </v>
      </c>
      <c r="S16" s="60"/>
      <c r="T16" s="24"/>
      <c r="U16" s="64" t="str">
        <f t="shared" si="7"/>
        <v xml:space="preserve"> </v>
      </c>
      <c r="V16" s="103" t="str">
        <f t="shared" si="5"/>
        <v xml:space="preserve"> </v>
      </c>
    </row>
    <row r="17" spans="1:22" ht="15" customHeight="1" x14ac:dyDescent="0.2">
      <c r="A17" s="5">
        <v>8</v>
      </c>
      <c r="B17" s="17"/>
      <c r="C17" s="3"/>
      <c r="D17" s="49"/>
      <c r="E17" s="113"/>
      <c r="F17" s="109"/>
      <c r="G17" s="52"/>
      <c r="H17" s="13"/>
      <c r="I17" s="57" t="str">
        <f t="shared" si="0"/>
        <v xml:space="preserve"> </v>
      </c>
      <c r="J17" s="67" t="str">
        <f t="shared" si="1"/>
        <v xml:space="preserve"> </v>
      </c>
      <c r="K17" s="95"/>
      <c r="L17" s="3"/>
      <c r="M17" s="64" t="str">
        <f t="shared" si="2"/>
        <v xml:space="preserve"> </v>
      </c>
      <c r="N17" s="100" t="str">
        <f t="shared" si="3"/>
        <v xml:space="preserve"> </v>
      </c>
      <c r="O17" s="52"/>
      <c r="P17" s="13"/>
      <c r="Q17" s="56" t="str">
        <f t="shared" si="6"/>
        <v xml:space="preserve"> </v>
      </c>
      <c r="R17" s="67" t="str">
        <f t="shared" si="4"/>
        <v xml:space="preserve"> </v>
      </c>
      <c r="S17" s="60"/>
      <c r="T17" s="24"/>
      <c r="U17" s="64" t="str">
        <f t="shared" si="7"/>
        <v xml:space="preserve"> </v>
      </c>
      <c r="V17" s="103" t="str">
        <f t="shared" si="5"/>
        <v xml:space="preserve"> </v>
      </c>
    </row>
    <row r="18" spans="1:22" ht="15" customHeight="1" x14ac:dyDescent="0.2">
      <c r="A18" s="5">
        <v>9</v>
      </c>
      <c r="B18" s="17"/>
      <c r="C18" s="3"/>
      <c r="D18" s="49"/>
      <c r="E18" s="113"/>
      <c r="F18" s="109"/>
      <c r="G18" s="52"/>
      <c r="H18" s="13"/>
      <c r="I18" s="57" t="str">
        <f t="shared" ref="I18:I40" si="8">IF((ISBLANK($G18))," ",($G18)/($I$3*27152))</f>
        <v xml:space="preserve"> </v>
      </c>
      <c r="J18" s="67" t="str">
        <f t="shared" si="1"/>
        <v xml:space="preserve"> </v>
      </c>
      <c r="K18" s="95"/>
      <c r="L18" s="3"/>
      <c r="M18" s="64" t="str">
        <f t="shared" si="2"/>
        <v xml:space="preserve"> </v>
      </c>
      <c r="N18" s="100" t="str">
        <f t="shared" si="3"/>
        <v xml:space="preserve"> </v>
      </c>
      <c r="O18" s="52"/>
      <c r="P18" s="13"/>
      <c r="Q18" s="56" t="str">
        <f t="shared" si="6"/>
        <v xml:space="preserve"> </v>
      </c>
      <c r="R18" s="67" t="str">
        <f t="shared" si="4"/>
        <v xml:space="preserve"> </v>
      </c>
      <c r="S18" s="60"/>
      <c r="T18" s="24"/>
      <c r="U18" s="64" t="str">
        <f t="shared" si="7"/>
        <v xml:space="preserve"> </v>
      </c>
      <c r="V18" s="103" t="str">
        <f t="shared" si="5"/>
        <v xml:space="preserve"> </v>
      </c>
    </row>
    <row r="19" spans="1:22" ht="15" customHeight="1" x14ac:dyDescent="0.2">
      <c r="A19" s="5">
        <v>10</v>
      </c>
      <c r="B19" s="17"/>
      <c r="C19" s="3"/>
      <c r="D19" s="49"/>
      <c r="E19" s="113"/>
      <c r="F19" s="109"/>
      <c r="G19" s="52"/>
      <c r="H19" s="13"/>
      <c r="I19" s="57" t="str">
        <f t="shared" si="8"/>
        <v xml:space="preserve"> </v>
      </c>
      <c r="J19" s="67" t="str">
        <f t="shared" si="1"/>
        <v xml:space="preserve"> </v>
      </c>
      <c r="K19" s="95"/>
      <c r="L19" s="3"/>
      <c r="M19" s="64" t="str">
        <f t="shared" si="2"/>
        <v xml:space="preserve"> </v>
      </c>
      <c r="N19" s="100" t="str">
        <f t="shared" si="3"/>
        <v xml:space="preserve"> </v>
      </c>
      <c r="O19" s="52"/>
      <c r="P19" s="13"/>
      <c r="Q19" s="56" t="str">
        <f t="shared" si="6"/>
        <v xml:space="preserve"> </v>
      </c>
      <c r="R19" s="67" t="str">
        <f t="shared" si="4"/>
        <v xml:space="preserve"> </v>
      </c>
      <c r="S19" s="60"/>
      <c r="T19" s="24"/>
      <c r="U19" s="64" t="str">
        <f t="shared" si="7"/>
        <v xml:space="preserve"> </v>
      </c>
      <c r="V19" s="103" t="str">
        <f t="shared" si="5"/>
        <v xml:space="preserve"> </v>
      </c>
    </row>
    <row r="20" spans="1:22" ht="15" customHeight="1" x14ac:dyDescent="0.2">
      <c r="A20" s="5">
        <v>11</v>
      </c>
      <c r="B20" s="17"/>
      <c r="C20" s="3"/>
      <c r="D20" s="49"/>
      <c r="E20" s="113"/>
      <c r="F20" s="109"/>
      <c r="G20" s="52"/>
      <c r="H20" s="13"/>
      <c r="I20" s="57" t="str">
        <f t="shared" si="8"/>
        <v xml:space="preserve"> </v>
      </c>
      <c r="J20" s="67" t="str">
        <f t="shared" si="1"/>
        <v xml:space="preserve"> </v>
      </c>
      <c r="K20" s="95"/>
      <c r="L20" s="3"/>
      <c r="M20" s="64" t="str">
        <f t="shared" si="2"/>
        <v xml:space="preserve"> </v>
      </c>
      <c r="N20" s="100" t="str">
        <f t="shared" si="3"/>
        <v xml:space="preserve"> </v>
      </c>
      <c r="O20" s="52"/>
      <c r="P20" s="13"/>
      <c r="Q20" s="56" t="str">
        <f t="shared" si="6"/>
        <v xml:space="preserve"> </v>
      </c>
      <c r="R20" s="67" t="str">
        <f t="shared" si="4"/>
        <v xml:space="preserve"> </v>
      </c>
      <c r="S20" s="60"/>
      <c r="T20" s="24"/>
      <c r="U20" s="64" t="str">
        <f t="shared" si="7"/>
        <v xml:space="preserve"> </v>
      </c>
      <c r="V20" s="103" t="str">
        <f t="shared" si="5"/>
        <v xml:space="preserve"> </v>
      </c>
    </row>
    <row r="21" spans="1:22" ht="15" customHeight="1" x14ac:dyDescent="0.2">
      <c r="A21" s="5">
        <v>12</v>
      </c>
      <c r="B21" s="17"/>
      <c r="C21" s="3"/>
      <c r="D21" s="49"/>
      <c r="E21" s="113"/>
      <c r="F21" s="109"/>
      <c r="G21" s="52"/>
      <c r="H21" s="13"/>
      <c r="I21" s="57" t="str">
        <f t="shared" si="8"/>
        <v xml:space="preserve"> </v>
      </c>
      <c r="J21" s="67" t="str">
        <f t="shared" si="1"/>
        <v xml:space="preserve"> </v>
      </c>
      <c r="K21" s="95"/>
      <c r="L21" s="3"/>
      <c r="M21" s="64" t="str">
        <f t="shared" si="2"/>
        <v xml:space="preserve"> </v>
      </c>
      <c r="N21" s="100" t="str">
        <f t="shared" si="3"/>
        <v xml:space="preserve"> </v>
      </c>
      <c r="O21" s="52"/>
      <c r="P21" s="13"/>
      <c r="Q21" s="56" t="str">
        <f t="shared" si="6"/>
        <v xml:space="preserve"> </v>
      </c>
      <c r="R21" s="67" t="str">
        <f t="shared" si="4"/>
        <v xml:space="preserve"> </v>
      </c>
      <c r="S21" s="60"/>
      <c r="T21" s="24"/>
      <c r="U21" s="64" t="str">
        <f t="shared" si="7"/>
        <v xml:space="preserve"> </v>
      </c>
      <c r="V21" s="103" t="str">
        <f t="shared" si="5"/>
        <v xml:space="preserve"> </v>
      </c>
    </row>
    <row r="22" spans="1:22" ht="15" customHeight="1" x14ac:dyDescent="0.2">
      <c r="A22" s="5">
        <v>13</v>
      </c>
      <c r="B22" s="17"/>
      <c r="C22" s="3"/>
      <c r="D22" s="49"/>
      <c r="E22" s="113"/>
      <c r="F22" s="109"/>
      <c r="G22" s="52"/>
      <c r="H22" s="13"/>
      <c r="I22" s="57" t="str">
        <f t="shared" si="8"/>
        <v xml:space="preserve"> </v>
      </c>
      <c r="J22" s="67" t="str">
        <f t="shared" si="1"/>
        <v xml:space="preserve"> </v>
      </c>
      <c r="K22" s="95"/>
      <c r="L22" s="3"/>
      <c r="M22" s="64" t="str">
        <f t="shared" si="2"/>
        <v xml:space="preserve"> </v>
      </c>
      <c r="N22" s="100" t="str">
        <f t="shared" si="3"/>
        <v xml:space="preserve"> </v>
      </c>
      <c r="O22" s="52"/>
      <c r="P22" s="13"/>
      <c r="Q22" s="56" t="str">
        <f t="shared" si="6"/>
        <v xml:space="preserve"> </v>
      </c>
      <c r="R22" s="67" t="str">
        <f t="shared" si="4"/>
        <v xml:space="preserve"> </v>
      </c>
      <c r="S22" s="60"/>
      <c r="T22" s="24"/>
      <c r="U22" s="64" t="str">
        <f t="shared" si="7"/>
        <v xml:space="preserve"> </v>
      </c>
      <c r="V22" s="103" t="str">
        <f t="shared" si="5"/>
        <v xml:space="preserve"> </v>
      </c>
    </row>
    <row r="23" spans="1:22" ht="15" customHeight="1" x14ac:dyDescent="0.2">
      <c r="A23" s="5">
        <v>14</v>
      </c>
      <c r="B23" s="17"/>
      <c r="C23" s="3"/>
      <c r="D23" s="49"/>
      <c r="E23" s="113"/>
      <c r="F23" s="109"/>
      <c r="G23" s="52"/>
      <c r="H23" s="13"/>
      <c r="I23" s="57" t="str">
        <f t="shared" si="8"/>
        <v xml:space="preserve"> </v>
      </c>
      <c r="J23" s="67" t="str">
        <f t="shared" si="1"/>
        <v xml:space="preserve"> </v>
      </c>
      <c r="K23" s="95"/>
      <c r="L23" s="3"/>
      <c r="M23" s="64" t="str">
        <f t="shared" si="2"/>
        <v xml:space="preserve"> </v>
      </c>
      <c r="N23" s="100" t="str">
        <f t="shared" si="3"/>
        <v xml:space="preserve"> </v>
      </c>
      <c r="O23" s="52"/>
      <c r="P23" s="13"/>
      <c r="Q23" s="56" t="str">
        <f t="shared" si="6"/>
        <v xml:space="preserve"> </v>
      </c>
      <c r="R23" s="67" t="str">
        <f t="shared" si="4"/>
        <v xml:space="preserve"> </v>
      </c>
      <c r="S23" s="60"/>
      <c r="T23" s="24"/>
      <c r="U23" s="64" t="str">
        <f t="shared" si="7"/>
        <v xml:space="preserve"> </v>
      </c>
      <c r="V23" s="103" t="str">
        <f t="shared" si="5"/>
        <v xml:space="preserve"> </v>
      </c>
    </row>
    <row r="24" spans="1:22" ht="15" customHeight="1" x14ac:dyDescent="0.2">
      <c r="A24" s="5">
        <v>15</v>
      </c>
      <c r="B24" s="17"/>
      <c r="C24" s="3"/>
      <c r="D24" s="49"/>
      <c r="E24" s="113"/>
      <c r="F24" s="109"/>
      <c r="G24" s="52"/>
      <c r="H24" s="13"/>
      <c r="I24" s="57" t="str">
        <f t="shared" si="8"/>
        <v xml:space="preserve"> </v>
      </c>
      <c r="J24" s="67" t="str">
        <f t="shared" si="1"/>
        <v xml:space="preserve"> </v>
      </c>
      <c r="K24" s="95"/>
      <c r="L24" s="3"/>
      <c r="M24" s="64" t="str">
        <f t="shared" si="2"/>
        <v xml:space="preserve"> </v>
      </c>
      <c r="N24" s="100" t="str">
        <f t="shared" si="3"/>
        <v xml:space="preserve"> </v>
      </c>
      <c r="O24" s="52"/>
      <c r="P24" s="13"/>
      <c r="Q24" s="56" t="str">
        <f t="shared" si="6"/>
        <v xml:space="preserve"> </v>
      </c>
      <c r="R24" s="67" t="str">
        <f t="shared" si="4"/>
        <v xml:space="preserve"> </v>
      </c>
      <c r="S24" s="60"/>
      <c r="T24" s="24"/>
      <c r="U24" s="64" t="str">
        <f t="shared" si="7"/>
        <v xml:space="preserve"> </v>
      </c>
      <c r="V24" s="103" t="str">
        <f t="shared" si="5"/>
        <v xml:space="preserve"> </v>
      </c>
    </row>
    <row r="25" spans="1:22" ht="15" customHeight="1" x14ac:dyDescent="0.2">
      <c r="A25" s="5">
        <v>16</v>
      </c>
      <c r="B25" s="17"/>
      <c r="C25" s="3"/>
      <c r="D25" s="49"/>
      <c r="E25" s="113"/>
      <c r="F25" s="109"/>
      <c r="G25" s="52"/>
      <c r="H25" s="13"/>
      <c r="I25" s="57" t="str">
        <f t="shared" si="8"/>
        <v xml:space="preserve"> </v>
      </c>
      <c r="J25" s="67" t="str">
        <f t="shared" si="1"/>
        <v xml:space="preserve"> </v>
      </c>
      <c r="K25" s="95"/>
      <c r="L25" s="3"/>
      <c r="M25" s="64" t="str">
        <f t="shared" si="2"/>
        <v xml:space="preserve"> </v>
      </c>
      <c r="N25" s="100" t="str">
        <f t="shared" si="3"/>
        <v xml:space="preserve"> </v>
      </c>
      <c r="O25" s="52"/>
      <c r="P25" s="13"/>
      <c r="Q25" s="56" t="str">
        <f t="shared" si="6"/>
        <v xml:space="preserve"> </v>
      </c>
      <c r="R25" s="67" t="str">
        <f t="shared" si="4"/>
        <v xml:space="preserve"> </v>
      </c>
      <c r="S25" s="60"/>
      <c r="T25" s="24"/>
      <c r="U25" s="64" t="str">
        <f t="shared" si="7"/>
        <v xml:space="preserve"> </v>
      </c>
      <c r="V25" s="103" t="str">
        <f t="shared" si="5"/>
        <v xml:space="preserve"> </v>
      </c>
    </row>
    <row r="26" spans="1:22" ht="15" customHeight="1" x14ac:dyDescent="0.2">
      <c r="A26" s="5">
        <v>17</v>
      </c>
      <c r="B26" s="17"/>
      <c r="C26" s="3"/>
      <c r="D26" s="49"/>
      <c r="E26" s="113"/>
      <c r="F26" s="109"/>
      <c r="G26" s="52"/>
      <c r="H26" s="13"/>
      <c r="I26" s="57" t="str">
        <f t="shared" si="8"/>
        <v xml:space="preserve"> </v>
      </c>
      <c r="J26" s="67" t="str">
        <f t="shared" si="1"/>
        <v xml:space="preserve"> </v>
      </c>
      <c r="K26" s="95"/>
      <c r="L26" s="3"/>
      <c r="M26" s="64" t="str">
        <f t="shared" si="2"/>
        <v xml:space="preserve"> </v>
      </c>
      <c r="N26" s="100" t="str">
        <f t="shared" si="3"/>
        <v xml:space="preserve"> </v>
      </c>
      <c r="O26" s="52"/>
      <c r="P26" s="13"/>
      <c r="Q26" s="56" t="str">
        <f t="shared" si="6"/>
        <v xml:space="preserve"> </v>
      </c>
      <c r="R26" s="67" t="str">
        <f t="shared" si="4"/>
        <v xml:space="preserve"> </v>
      </c>
      <c r="S26" s="60"/>
      <c r="T26" s="24"/>
      <c r="U26" s="64" t="str">
        <f t="shared" si="7"/>
        <v xml:space="preserve"> </v>
      </c>
      <c r="V26" s="103" t="str">
        <f t="shared" si="5"/>
        <v xml:space="preserve"> </v>
      </c>
    </row>
    <row r="27" spans="1:22" ht="15" customHeight="1" x14ac:dyDescent="0.2">
      <c r="A27" s="5">
        <v>18</v>
      </c>
      <c r="B27" s="17"/>
      <c r="C27" s="3"/>
      <c r="D27" s="49"/>
      <c r="E27" s="113"/>
      <c r="F27" s="109"/>
      <c r="G27" s="52"/>
      <c r="H27" s="13"/>
      <c r="I27" s="57" t="str">
        <f t="shared" si="8"/>
        <v xml:space="preserve"> </v>
      </c>
      <c r="J27" s="67" t="str">
        <f t="shared" si="1"/>
        <v xml:space="preserve"> </v>
      </c>
      <c r="K27" s="95"/>
      <c r="L27" s="3"/>
      <c r="M27" s="64" t="str">
        <f t="shared" si="2"/>
        <v xml:space="preserve"> </v>
      </c>
      <c r="N27" s="100" t="str">
        <f t="shared" si="3"/>
        <v xml:space="preserve"> </v>
      </c>
      <c r="O27" s="52"/>
      <c r="P27" s="13"/>
      <c r="Q27" s="56" t="str">
        <f t="shared" si="6"/>
        <v xml:space="preserve"> </v>
      </c>
      <c r="R27" s="67" t="str">
        <f t="shared" si="4"/>
        <v xml:space="preserve"> </v>
      </c>
      <c r="S27" s="60"/>
      <c r="T27" s="24"/>
      <c r="U27" s="64" t="str">
        <f t="shared" si="7"/>
        <v xml:space="preserve"> </v>
      </c>
      <c r="V27" s="103" t="str">
        <f t="shared" si="5"/>
        <v xml:space="preserve"> </v>
      </c>
    </row>
    <row r="28" spans="1:22" ht="15" customHeight="1" x14ac:dyDescent="0.2">
      <c r="A28" s="5">
        <v>19</v>
      </c>
      <c r="B28" s="17"/>
      <c r="C28" s="3"/>
      <c r="D28" s="49"/>
      <c r="E28" s="113"/>
      <c r="F28" s="109"/>
      <c r="G28" s="52"/>
      <c r="H28" s="13"/>
      <c r="I28" s="57" t="str">
        <f t="shared" si="8"/>
        <v xml:space="preserve"> </v>
      </c>
      <c r="J28" s="67" t="str">
        <f t="shared" si="1"/>
        <v xml:space="preserve"> </v>
      </c>
      <c r="K28" s="95"/>
      <c r="L28" s="3"/>
      <c r="M28" s="64" t="str">
        <f t="shared" si="2"/>
        <v xml:space="preserve"> </v>
      </c>
      <c r="N28" s="100" t="str">
        <f t="shared" si="3"/>
        <v xml:space="preserve"> </v>
      </c>
      <c r="O28" s="52"/>
      <c r="P28" s="13"/>
      <c r="Q28" s="56" t="str">
        <f t="shared" si="6"/>
        <v xml:space="preserve"> </v>
      </c>
      <c r="R28" s="67" t="str">
        <f t="shared" si="4"/>
        <v xml:space="preserve"> </v>
      </c>
      <c r="S28" s="60"/>
      <c r="T28" s="24"/>
      <c r="U28" s="64" t="str">
        <f t="shared" si="7"/>
        <v xml:space="preserve"> </v>
      </c>
      <c r="V28" s="103" t="str">
        <f t="shared" si="5"/>
        <v xml:space="preserve"> </v>
      </c>
    </row>
    <row r="29" spans="1:22" ht="15" customHeight="1" x14ac:dyDescent="0.2">
      <c r="A29" s="5">
        <v>20</v>
      </c>
      <c r="B29" s="17"/>
      <c r="C29" s="3"/>
      <c r="D29" s="49"/>
      <c r="E29" s="113"/>
      <c r="F29" s="109"/>
      <c r="G29" s="52"/>
      <c r="H29" s="13"/>
      <c r="I29" s="57" t="str">
        <f t="shared" si="8"/>
        <v xml:space="preserve"> </v>
      </c>
      <c r="J29" s="67" t="str">
        <f t="shared" si="1"/>
        <v xml:space="preserve"> </v>
      </c>
      <c r="K29" s="95"/>
      <c r="L29" s="3"/>
      <c r="M29" s="64" t="str">
        <f t="shared" si="2"/>
        <v xml:space="preserve"> </v>
      </c>
      <c r="N29" s="100" t="str">
        <f t="shared" si="3"/>
        <v xml:space="preserve"> </v>
      </c>
      <c r="O29" s="52"/>
      <c r="P29" s="13"/>
      <c r="Q29" s="56" t="str">
        <f t="shared" si="6"/>
        <v xml:space="preserve"> </v>
      </c>
      <c r="R29" s="67" t="str">
        <f t="shared" si="4"/>
        <v xml:space="preserve"> </v>
      </c>
      <c r="S29" s="60"/>
      <c r="T29" s="24"/>
      <c r="U29" s="64" t="str">
        <f t="shared" si="7"/>
        <v xml:space="preserve"> </v>
      </c>
      <c r="V29" s="103" t="str">
        <f t="shared" si="5"/>
        <v xml:space="preserve"> </v>
      </c>
    </row>
    <row r="30" spans="1:22" ht="15" customHeight="1" x14ac:dyDescent="0.2">
      <c r="A30" s="5">
        <v>21</v>
      </c>
      <c r="B30" s="17"/>
      <c r="C30" s="3"/>
      <c r="D30" s="49"/>
      <c r="E30" s="113"/>
      <c r="F30" s="109"/>
      <c r="G30" s="52"/>
      <c r="H30" s="13"/>
      <c r="I30" s="57" t="str">
        <f t="shared" si="8"/>
        <v xml:space="preserve"> </v>
      </c>
      <c r="J30" s="67" t="str">
        <f t="shared" si="1"/>
        <v xml:space="preserve"> </v>
      </c>
      <c r="K30" s="95"/>
      <c r="L30" s="3"/>
      <c r="M30" s="64" t="str">
        <f t="shared" si="2"/>
        <v xml:space="preserve"> </v>
      </c>
      <c r="N30" s="100" t="str">
        <f t="shared" si="3"/>
        <v xml:space="preserve"> </v>
      </c>
      <c r="O30" s="52"/>
      <c r="P30" s="13"/>
      <c r="Q30" s="56" t="str">
        <f t="shared" si="6"/>
        <v xml:space="preserve"> </v>
      </c>
      <c r="R30" s="67" t="str">
        <f t="shared" si="4"/>
        <v xml:space="preserve"> </v>
      </c>
      <c r="S30" s="60"/>
      <c r="T30" s="24"/>
      <c r="U30" s="64" t="str">
        <f t="shared" si="7"/>
        <v xml:space="preserve"> </v>
      </c>
      <c r="V30" s="103" t="str">
        <f t="shared" si="5"/>
        <v xml:space="preserve"> </v>
      </c>
    </row>
    <row r="31" spans="1:22" ht="15" customHeight="1" x14ac:dyDescent="0.2">
      <c r="A31" s="5">
        <v>22</v>
      </c>
      <c r="B31" s="17"/>
      <c r="C31" s="3"/>
      <c r="D31" s="49"/>
      <c r="E31" s="113"/>
      <c r="F31" s="109"/>
      <c r="G31" s="52"/>
      <c r="H31" s="13"/>
      <c r="I31" s="57" t="str">
        <f t="shared" si="8"/>
        <v xml:space="preserve"> </v>
      </c>
      <c r="J31" s="67" t="str">
        <f t="shared" si="1"/>
        <v xml:space="preserve"> </v>
      </c>
      <c r="K31" s="95"/>
      <c r="L31" s="3"/>
      <c r="M31" s="64" t="str">
        <f t="shared" si="2"/>
        <v xml:space="preserve"> </v>
      </c>
      <c r="N31" s="100" t="str">
        <f t="shared" si="3"/>
        <v xml:space="preserve"> </v>
      </c>
      <c r="O31" s="52"/>
      <c r="P31" s="13"/>
      <c r="Q31" s="56" t="str">
        <f t="shared" si="6"/>
        <v xml:space="preserve"> </v>
      </c>
      <c r="R31" s="67" t="str">
        <f t="shared" si="4"/>
        <v xml:space="preserve"> </v>
      </c>
      <c r="S31" s="60"/>
      <c r="T31" s="24"/>
      <c r="U31" s="64" t="str">
        <f t="shared" si="7"/>
        <v xml:space="preserve"> </v>
      </c>
      <c r="V31" s="103" t="str">
        <f t="shared" si="5"/>
        <v xml:space="preserve"> </v>
      </c>
    </row>
    <row r="32" spans="1:22" ht="15" customHeight="1" x14ac:dyDescent="0.2">
      <c r="A32" s="5">
        <v>23</v>
      </c>
      <c r="B32" s="17"/>
      <c r="C32" s="3"/>
      <c r="D32" s="49"/>
      <c r="E32" s="113"/>
      <c r="F32" s="109"/>
      <c r="G32" s="52"/>
      <c r="H32" s="13"/>
      <c r="I32" s="57" t="str">
        <f t="shared" si="8"/>
        <v xml:space="preserve"> </v>
      </c>
      <c r="J32" s="67" t="str">
        <f t="shared" si="1"/>
        <v xml:space="preserve"> </v>
      </c>
      <c r="K32" s="95"/>
      <c r="L32" s="3"/>
      <c r="M32" s="64" t="str">
        <f t="shared" si="2"/>
        <v xml:space="preserve"> </v>
      </c>
      <c r="N32" s="100" t="str">
        <f t="shared" si="3"/>
        <v xml:space="preserve"> </v>
      </c>
      <c r="O32" s="52"/>
      <c r="P32" s="13"/>
      <c r="Q32" s="56" t="str">
        <f t="shared" si="6"/>
        <v xml:space="preserve"> </v>
      </c>
      <c r="R32" s="67" t="str">
        <f t="shared" si="4"/>
        <v xml:space="preserve"> </v>
      </c>
      <c r="S32" s="60"/>
      <c r="T32" s="24"/>
      <c r="U32" s="64" t="str">
        <f t="shared" si="7"/>
        <v xml:space="preserve"> </v>
      </c>
      <c r="V32" s="103" t="str">
        <f t="shared" si="5"/>
        <v xml:space="preserve"> </v>
      </c>
    </row>
    <row r="33" spans="1:22" ht="15" customHeight="1" x14ac:dyDescent="0.2">
      <c r="A33" s="5">
        <v>24</v>
      </c>
      <c r="B33" s="17"/>
      <c r="C33" s="3"/>
      <c r="D33" s="49"/>
      <c r="E33" s="113"/>
      <c r="F33" s="109"/>
      <c r="G33" s="52"/>
      <c r="H33" s="13"/>
      <c r="I33" s="57" t="str">
        <f t="shared" si="8"/>
        <v xml:space="preserve"> </v>
      </c>
      <c r="J33" s="67" t="str">
        <f t="shared" si="1"/>
        <v xml:space="preserve"> </v>
      </c>
      <c r="K33" s="95"/>
      <c r="L33" s="3"/>
      <c r="M33" s="64" t="str">
        <f t="shared" si="2"/>
        <v xml:space="preserve"> </v>
      </c>
      <c r="N33" s="100" t="str">
        <f t="shared" si="3"/>
        <v xml:space="preserve"> </v>
      </c>
      <c r="O33" s="52"/>
      <c r="P33" s="13"/>
      <c r="Q33" s="56" t="str">
        <f t="shared" si="6"/>
        <v xml:space="preserve"> </v>
      </c>
      <c r="R33" s="67" t="str">
        <f t="shared" si="4"/>
        <v xml:space="preserve"> </v>
      </c>
      <c r="S33" s="60"/>
      <c r="T33" s="24"/>
      <c r="U33" s="64" t="str">
        <f t="shared" si="7"/>
        <v xml:space="preserve"> </v>
      </c>
      <c r="V33" s="103" t="str">
        <f t="shared" si="5"/>
        <v xml:space="preserve"> </v>
      </c>
    </row>
    <row r="34" spans="1:22" ht="15" customHeight="1" x14ac:dyDescent="0.2">
      <c r="A34" s="5">
        <v>25</v>
      </c>
      <c r="B34" s="17"/>
      <c r="C34" s="3"/>
      <c r="D34" s="49"/>
      <c r="E34" s="113"/>
      <c r="F34" s="109"/>
      <c r="G34" s="52"/>
      <c r="H34" s="13"/>
      <c r="I34" s="57" t="str">
        <f t="shared" si="8"/>
        <v xml:space="preserve"> </v>
      </c>
      <c r="J34" s="67" t="str">
        <f t="shared" si="1"/>
        <v xml:space="preserve"> </v>
      </c>
      <c r="K34" s="95"/>
      <c r="L34" s="3"/>
      <c r="M34" s="64" t="str">
        <f t="shared" si="2"/>
        <v xml:space="preserve"> </v>
      </c>
      <c r="N34" s="100" t="str">
        <f t="shared" si="3"/>
        <v xml:space="preserve"> </v>
      </c>
      <c r="O34" s="52"/>
      <c r="P34" s="13"/>
      <c r="Q34" s="56" t="str">
        <f t="shared" si="6"/>
        <v xml:space="preserve"> </v>
      </c>
      <c r="R34" s="67" t="str">
        <f t="shared" si="4"/>
        <v xml:space="preserve"> </v>
      </c>
      <c r="S34" s="60"/>
      <c r="T34" s="24"/>
      <c r="U34" s="64" t="str">
        <f t="shared" si="7"/>
        <v xml:space="preserve"> </v>
      </c>
      <c r="V34" s="103" t="str">
        <f t="shared" si="5"/>
        <v xml:space="preserve"> </v>
      </c>
    </row>
    <row r="35" spans="1:22" ht="15" customHeight="1" x14ac:dyDescent="0.2">
      <c r="A35" s="5">
        <v>26</v>
      </c>
      <c r="B35" s="17"/>
      <c r="C35" s="3"/>
      <c r="D35" s="49"/>
      <c r="E35" s="113"/>
      <c r="F35" s="109"/>
      <c r="G35" s="52"/>
      <c r="H35" s="13"/>
      <c r="I35" s="57" t="str">
        <f t="shared" si="8"/>
        <v xml:space="preserve"> </v>
      </c>
      <c r="J35" s="67" t="str">
        <f t="shared" si="1"/>
        <v xml:space="preserve"> </v>
      </c>
      <c r="K35" s="95"/>
      <c r="L35" s="3"/>
      <c r="M35" s="64" t="str">
        <f t="shared" si="2"/>
        <v xml:space="preserve"> </v>
      </c>
      <c r="N35" s="100" t="str">
        <f t="shared" si="3"/>
        <v xml:space="preserve"> </v>
      </c>
      <c r="O35" s="52"/>
      <c r="P35" s="13"/>
      <c r="Q35" s="56" t="str">
        <f t="shared" si="6"/>
        <v xml:space="preserve"> </v>
      </c>
      <c r="R35" s="67" t="str">
        <f t="shared" si="4"/>
        <v xml:space="preserve"> </v>
      </c>
      <c r="S35" s="60"/>
      <c r="T35" s="24"/>
      <c r="U35" s="64" t="str">
        <f t="shared" si="7"/>
        <v xml:space="preserve"> </v>
      </c>
      <c r="V35" s="103" t="str">
        <f t="shared" si="5"/>
        <v xml:space="preserve"> </v>
      </c>
    </row>
    <row r="36" spans="1:22" ht="15" customHeight="1" x14ac:dyDescent="0.2">
      <c r="A36" s="5">
        <v>27</v>
      </c>
      <c r="B36" s="17"/>
      <c r="C36" s="3"/>
      <c r="D36" s="49"/>
      <c r="E36" s="113"/>
      <c r="F36" s="109"/>
      <c r="G36" s="52"/>
      <c r="H36" s="13"/>
      <c r="I36" s="57" t="str">
        <f t="shared" si="8"/>
        <v xml:space="preserve"> </v>
      </c>
      <c r="J36" s="67" t="str">
        <f t="shared" si="1"/>
        <v xml:space="preserve"> </v>
      </c>
      <c r="K36" s="95"/>
      <c r="L36" s="3"/>
      <c r="M36" s="64" t="str">
        <f t="shared" si="2"/>
        <v xml:space="preserve"> </v>
      </c>
      <c r="N36" s="100" t="str">
        <f t="shared" si="3"/>
        <v xml:space="preserve"> </v>
      </c>
      <c r="O36" s="52"/>
      <c r="P36" s="13"/>
      <c r="Q36" s="56" t="str">
        <f t="shared" si="6"/>
        <v xml:space="preserve"> </v>
      </c>
      <c r="R36" s="67" t="str">
        <f t="shared" si="4"/>
        <v xml:space="preserve"> </v>
      </c>
      <c r="S36" s="60"/>
      <c r="T36" s="24"/>
      <c r="U36" s="64" t="str">
        <f t="shared" si="7"/>
        <v xml:space="preserve"> </v>
      </c>
      <c r="V36" s="103" t="str">
        <f t="shared" si="5"/>
        <v xml:space="preserve"> </v>
      </c>
    </row>
    <row r="37" spans="1:22" ht="15" customHeight="1" x14ac:dyDescent="0.2">
      <c r="A37" s="5">
        <v>28</v>
      </c>
      <c r="B37" s="17"/>
      <c r="C37" s="3"/>
      <c r="D37" s="49"/>
      <c r="E37" s="113"/>
      <c r="F37" s="109"/>
      <c r="G37" s="52"/>
      <c r="H37" s="13"/>
      <c r="I37" s="57" t="str">
        <f t="shared" si="8"/>
        <v xml:space="preserve"> </v>
      </c>
      <c r="J37" s="67" t="str">
        <f t="shared" si="1"/>
        <v xml:space="preserve"> </v>
      </c>
      <c r="K37" s="95"/>
      <c r="L37" s="3"/>
      <c r="M37" s="64" t="str">
        <f t="shared" si="2"/>
        <v xml:space="preserve"> </v>
      </c>
      <c r="N37" s="100" t="str">
        <f t="shared" si="3"/>
        <v xml:space="preserve"> </v>
      </c>
      <c r="O37" s="52"/>
      <c r="P37" s="13"/>
      <c r="Q37" s="56" t="str">
        <f t="shared" si="6"/>
        <v xml:space="preserve"> </v>
      </c>
      <c r="R37" s="67" t="str">
        <f t="shared" si="4"/>
        <v xml:space="preserve"> </v>
      </c>
      <c r="S37" s="60"/>
      <c r="T37" s="24"/>
      <c r="U37" s="64" t="str">
        <f t="shared" si="7"/>
        <v xml:space="preserve"> </v>
      </c>
      <c r="V37" s="103" t="str">
        <f t="shared" si="5"/>
        <v xml:space="preserve"> </v>
      </c>
    </row>
    <row r="38" spans="1:22" ht="15" customHeight="1" x14ac:dyDescent="0.2">
      <c r="A38" s="5">
        <v>29</v>
      </c>
      <c r="B38" s="17"/>
      <c r="C38" s="3"/>
      <c r="D38" s="49"/>
      <c r="E38" s="113"/>
      <c r="F38" s="109"/>
      <c r="G38" s="52"/>
      <c r="H38" s="13"/>
      <c r="I38" s="57" t="str">
        <f t="shared" si="8"/>
        <v xml:space="preserve"> </v>
      </c>
      <c r="J38" s="67" t="str">
        <f t="shared" si="1"/>
        <v xml:space="preserve"> </v>
      </c>
      <c r="K38" s="95"/>
      <c r="L38" s="3"/>
      <c r="M38" s="64" t="str">
        <f t="shared" si="2"/>
        <v xml:space="preserve"> </v>
      </c>
      <c r="N38" s="100" t="str">
        <f t="shared" si="3"/>
        <v xml:space="preserve"> </v>
      </c>
      <c r="O38" s="52"/>
      <c r="P38" s="13"/>
      <c r="Q38" s="56" t="str">
        <f t="shared" si="6"/>
        <v xml:space="preserve"> </v>
      </c>
      <c r="R38" s="67" t="str">
        <f t="shared" si="4"/>
        <v xml:space="preserve"> </v>
      </c>
      <c r="S38" s="60"/>
      <c r="T38" s="24"/>
      <c r="U38" s="64" t="str">
        <f t="shared" si="7"/>
        <v xml:space="preserve"> </v>
      </c>
      <c r="V38" s="103" t="str">
        <f t="shared" si="5"/>
        <v xml:space="preserve"> </v>
      </c>
    </row>
    <row r="39" spans="1:22" ht="15" customHeight="1" x14ac:dyDescent="0.2">
      <c r="A39" s="5">
        <v>30</v>
      </c>
      <c r="B39" s="17"/>
      <c r="C39" s="3"/>
      <c r="D39" s="49"/>
      <c r="E39" s="113"/>
      <c r="F39" s="109"/>
      <c r="G39" s="52"/>
      <c r="H39" s="13"/>
      <c r="I39" s="57" t="str">
        <f t="shared" si="8"/>
        <v xml:space="preserve"> </v>
      </c>
      <c r="J39" s="67" t="str">
        <f t="shared" si="1"/>
        <v xml:space="preserve"> </v>
      </c>
      <c r="K39" s="95"/>
      <c r="L39" s="3"/>
      <c r="M39" s="64" t="str">
        <f t="shared" si="2"/>
        <v xml:space="preserve"> </v>
      </c>
      <c r="N39" s="100" t="str">
        <f t="shared" si="3"/>
        <v xml:space="preserve"> </v>
      </c>
      <c r="O39" s="52"/>
      <c r="P39" s="13"/>
      <c r="Q39" s="56" t="str">
        <f t="shared" si="6"/>
        <v xml:space="preserve"> </v>
      </c>
      <c r="R39" s="67" t="str">
        <f t="shared" si="4"/>
        <v xml:space="preserve"> </v>
      </c>
      <c r="S39" s="60"/>
      <c r="T39" s="24"/>
      <c r="U39" s="64" t="str">
        <f t="shared" si="7"/>
        <v xml:space="preserve"> </v>
      </c>
      <c r="V39" s="103" t="str">
        <f t="shared" si="5"/>
        <v xml:space="preserve"> </v>
      </c>
    </row>
    <row r="40" spans="1:22" ht="15" customHeight="1" thickBot="1" x14ac:dyDescent="0.25">
      <c r="A40" s="5">
        <v>31</v>
      </c>
      <c r="B40" s="17"/>
      <c r="C40" s="12"/>
      <c r="D40" s="50"/>
      <c r="E40" s="114"/>
      <c r="F40" s="110"/>
      <c r="G40" s="53"/>
      <c r="H40" s="22"/>
      <c r="I40" s="57" t="str">
        <f t="shared" si="8"/>
        <v xml:space="preserve"> </v>
      </c>
      <c r="J40" s="97" t="str">
        <f t="shared" si="1"/>
        <v xml:space="preserve"> </v>
      </c>
      <c r="K40" s="96"/>
      <c r="L40" s="18"/>
      <c r="M40" s="94" t="str">
        <f t="shared" si="2"/>
        <v xml:space="preserve"> </v>
      </c>
      <c r="N40" s="99" t="str">
        <f t="shared" si="3"/>
        <v xml:space="preserve"> </v>
      </c>
      <c r="O40" s="53"/>
      <c r="P40" s="22"/>
      <c r="Q40" s="56" t="str">
        <f t="shared" si="6"/>
        <v xml:space="preserve"> </v>
      </c>
      <c r="R40" s="97" t="str">
        <f t="shared" si="4"/>
        <v xml:space="preserve"> </v>
      </c>
      <c r="S40" s="61"/>
      <c r="T40" s="25"/>
      <c r="U40" s="64" t="str">
        <f t="shared" si="7"/>
        <v xml:space="preserve"> </v>
      </c>
      <c r="V40" s="104" t="str">
        <f t="shared" si="5"/>
        <v xml:space="preserve"> </v>
      </c>
    </row>
    <row r="41" spans="1:22" ht="15" customHeight="1" x14ac:dyDescent="0.2">
      <c r="A41" s="158" t="s">
        <v>154</v>
      </c>
      <c r="B41" s="159"/>
      <c r="C41" s="159"/>
      <c r="D41" s="160"/>
      <c r="E41" s="160"/>
      <c r="F41" s="160"/>
      <c r="G41" s="54" t="str">
        <f>IF(ISBLANK($S1)," ",SUM(G10:G40))</f>
        <v xml:space="preserve"> </v>
      </c>
      <c r="H41" s="37"/>
      <c r="I41" s="58" t="str">
        <f>IF(ISBLANK($S1)," ",SUM(I10:I40))</f>
        <v xml:space="preserve"> </v>
      </c>
      <c r="J41" s="38"/>
      <c r="K41" s="62" t="str">
        <f>IF(ISBLANK($S1)," ",SUM(K10:K40))</f>
        <v xml:space="preserve"> </v>
      </c>
      <c r="L41" s="39"/>
      <c r="M41" s="65" t="str">
        <f>IF(ISBLANK($S1)," ",SUM(M10:M40))</f>
        <v xml:space="preserve"> </v>
      </c>
      <c r="N41" s="40"/>
      <c r="O41" s="54" t="str">
        <f>IF(ISBLANK($S1)," ",SUM(O10:O40))</f>
        <v xml:space="preserve"> </v>
      </c>
      <c r="P41" s="37"/>
      <c r="Q41" s="58" t="str">
        <f>IF(ISBLANK($S1)," ",SUM(Q10:Q40))</f>
        <v xml:space="preserve"> </v>
      </c>
      <c r="R41" s="38"/>
      <c r="S41" s="62" t="str">
        <f>IF(ISBLANK($S1)," ",SUM(S10:S40))</f>
        <v xml:space="preserve"> </v>
      </c>
      <c r="T41" s="39"/>
      <c r="U41" s="65" t="str">
        <f>IF(ISBLANK($S1)," ",SUM(U10:U40))</f>
        <v xml:space="preserve"> </v>
      </c>
      <c r="V41" s="41"/>
    </row>
    <row r="42" spans="1:22" ht="15" customHeight="1" thickBot="1" x14ac:dyDescent="0.25">
      <c r="A42" s="165" t="s">
        <v>153</v>
      </c>
      <c r="B42" s="166"/>
      <c r="C42" s="166"/>
      <c r="D42" s="167"/>
      <c r="E42" s="167"/>
      <c r="F42" s="167"/>
      <c r="G42" s="82"/>
      <c r="H42" s="83"/>
      <c r="I42" s="84"/>
      <c r="J42" s="85"/>
      <c r="K42" s="86"/>
      <c r="L42" s="87"/>
      <c r="M42" s="88"/>
      <c r="N42" s="89"/>
      <c r="O42" s="82"/>
      <c r="P42" s="83"/>
      <c r="Q42" s="84"/>
      <c r="R42" s="85"/>
      <c r="S42" s="86"/>
      <c r="T42" s="87"/>
      <c r="U42" s="90"/>
      <c r="V42" s="91"/>
    </row>
  </sheetData>
  <sheetProtection password="CD14" sheet="1" objects="1" scenarios="1" selectLockedCells="1"/>
  <mergeCells count="59">
    <mergeCell ref="A42:F42"/>
    <mergeCell ref="B7:D7"/>
    <mergeCell ref="G6:H6"/>
    <mergeCell ref="S2:T2"/>
    <mergeCell ref="U2:V2"/>
    <mergeCell ref="S3:T3"/>
    <mergeCell ref="U3:V3"/>
    <mergeCell ref="S4:T4"/>
    <mergeCell ref="U4:V4"/>
    <mergeCell ref="S5:T5"/>
    <mergeCell ref="U5:V5"/>
    <mergeCell ref="S7:T7"/>
    <mergeCell ref="O5:P5"/>
    <mergeCell ref="Q5:R5"/>
    <mergeCell ref="O7:P7"/>
    <mergeCell ref="I6:J6"/>
    <mergeCell ref="U6:V6"/>
    <mergeCell ref="A2:F4"/>
    <mergeCell ref="A5:C6"/>
    <mergeCell ref="D5:F6"/>
    <mergeCell ref="A41:F41"/>
    <mergeCell ref="K6:L6"/>
    <mergeCell ref="K5:L5"/>
    <mergeCell ref="K7:L7"/>
    <mergeCell ref="K2:L2"/>
    <mergeCell ref="Q2:R2"/>
    <mergeCell ref="O3:P3"/>
    <mergeCell ref="Q3:R3"/>
    <mergeCell ref="O4:P4"/>
    <mergeCell ref="Q4:R4"/>
    <mergeCell ref="B8:B9"/>
    <mergeCell ref="M6:N6"/>
    <mergeCell ref="A1:C1"/>
    <mergeCell ref="D1:F1"/>
    <mergeCell ref="A7:A9"/>
    <mergeCell ref="G2:H2"/>
    <mergeCell ref="I2:J2"/>
    <mergeCell ref="G3:H3"/>
    <mergeCell ref="I3:J3"/>
    <mergeCell ref="I4:J4"/>
    <mergeCell ref="I5:J5"/>
    <mergeCell ref="G4:H4"/>
    <mergeCell ref="G5:H5"/>
    <mergeCell ref="G7:H7"/>
    <mergeCell ref="E7:F7"/>
    <mergeCell ref="P1:Q1"/>
    <mergeCell ref="S1:T1"/>
    <mergeCell ref="G1:H1"/>
    <mergeCell ref="I1:N1"/>
    <mergeCell ref="M2:N2"/>
    <mergeCell ref="O2:P2"/>
    <mergeCell ref="S6:T6"/>
    <mergeCell ref="O6:P6"/>
    <mergeCell ref="Q6:R6"/>
    <mergeCell ref="K3:L3"/>
    <mergeCell ref="M3:N3"/>
    <mergeCell ref="K4:L4"/>
    <mergeCell ref="M4:N4"/>
    <mergeCell ref="M5:N5"/>
  </mergeCells>
  <phoneticPr fontId="0" type="noConversion"/>
  <dataValidations count="5">
    <dataValidation showInputMessage="1" showErrorMessage="1" sqref="D8:F8 S6:S7 O6:O7 G6:G7 K6:K7" xr:uid="{00000000-0002-0000-0000-000000000000}"/>
    <dataValidation type="list" showInputMessage="1" showErrorMessage="1" sqref="P1:Q1" xr:uid="{00000000-0002-0000-0000-000001000000}">
      <formula1>County</formula1>
    </dataValidation>
    <dataValidation type="list" showInputMessage="1" showErrorMessage="1" sqref="S1:T1" xr:uid="{00000000-0002-0000-0000-000002000000}">
      <formula1>Month</formula1>
    </dataValidation>
    <dataValidation type="list" showInputMessage="1" showErrorMessage="1" sqref="V1" xr:uid="{00000000-0002-0000-0000-000003000000}">
      <formula1>Year</formula1>
    </dataValidation>
    <dataValidation type="list" showInputMessage="1" showErrorMessage="1" sqref="B10:B40" xr:uid="{00000000-0002-0000-0000-000004000000}">
      <formula1>Weather</formula1>
    </dataValidation>
  </dataValidations>
  <printOptions horizontalCentered="1"/>
  <pageMargins left="0.28431321084864403" right="0.28431321084864403" top="0.5" bottom="0.1" header="0.2" footer="0.1"/>
  <pageSetup scale="80" orientation="landscape" r:id="rId1"/>
  <headerFooter alignWithMargins="0">
    <oddHeader>&amp;LFORM: NDAR-1 10-13&amp;C&amp;"Arial,Bold"&amp;12NON-DISCHARGE APPLICATION REPORT (NDAR-1)&amp;RPage _____ of _____</oddHeader>
  </headerFooter>
  <drawing r:id="rId2"/>
  <legacyDrawing r:id="rId3"/>
  <mc:AlternateContent xmlns:mc="http://schemas.openxmlformats.org/markup-compatibility/2006">
    <mc:Choice Requires="x14">
      <controls>
        <mc:AlternateContent xmlns:mc="http://schemas.openxmlformats.org/markup-compatibility/2006">
          <mc:Choice Requires="x14">
            <control shapeId="1195" r:id="rId4" name="Check Box 171">
              <controlPr defaultSize="0" autoFill="0" autoLine="0" autoPict="0">
                <anchor moveWithCells="1">
                  <from>
                    <xdr:col>1</xdr:col>
                    <xdr:colOff>85725</xdr:colOff>
                    <xdr:row>3</xdr:row>
                    <xdr:rowOff>133350</xdr:rowOff>
                  </from>
                  <to>
                    <xdr:col>3</xdr:col>
                    <xdr:colOff>47625</xdr:colOff>
                    <xdr:row>5</xdr:row>
                    <xdr:rowOff>114300</xdr:rowOff>
                  </to>
                </anchor>
              </controlPr>
            </control>
          </mc:Choice>
        </mc:AlternateContent>
        <mc:AlternateContent xmlns:mc="http://schemas.openxmlformats.org/markup-compatibility/2006">
          <mc:Choice Requires="x14">
            <control shapeId="1198" r:id="rId5" name="Check Box 174">
              <controlPr defaultSize="0" autoFill="0" autoLine="0" autoPict="0">
                <anchor moveWithCells="1">
                  <from>
                    <xdr:col>3</xdr:col>
                    <xdr:colOff>38100</xdr:colOff>
                    <xdr:row>4</xdr:row>
                    <xdr:rowOff>9525</xdr:rowOff>
                  </from>
                  <to>
                    <xdr:col>5</xdr:col>
                    <xdr:colOff>57150</xdr:colOff>
                    <xdr:row>5</xdr:row>
                    <xdr:rowOff>85725</xdr:rowOff>
                  </to>
                </anchor>
              </controlPr>
            </control>
          </mc:Choice>
        </mc:AlternateContent>
        <mc:AlternateContent xmlns:mc="http://schemas.openxmlformats.org/markup-compatibility/2006">
          <mc:Choice Requires="x14">
            <control shapeId="1199" r:id="rId6" name="Check Box 175">
              <controlPr defaultSize="0" autoFill="0" autoLine="0" autoPict="0">
                <anchor moveWithCells="1">
                  <from>
                    <xdr:col>8</xdr:col>
                    <xdr:colOff>47625</xdr:colOff>
                    <xdr:row>6</xdr:row>
                    <xdr:rowOff>9525</xdr:rowOff>
                  </from>
                  <to>
                    <xdr:col>9</xdr:col>
                    <xdr:colOff>47625</xdr:colOff>
                    <xdr:row>6</xdr:row>
                    <xdr:rowOff>152400</xdr:rowOff>
                  </to>
                </anchor>
              </controlPr>
            </control>
          </mc:Choice>
        </mc:AlternateContent>
        <mc:AlternateContent xmlns:mc="http://schemas.openxmlformats.org/markup-compatibility/2006">
          <mc:Choice Requires="x14">
            <control shapeId="1200" r:id="rId7" name="Check Box 176">
              <controlPr defaultSize="0" autoFill="0" autoLine="0" autoPict="0">
                <anchor moveWithCells="1">
                  <from>
                    <xdr:col>9</xdr:col>
                    <xdr:colOff>47625</xdr:colOff>
                    <xdr:row>6</xdr:row>
                    <xdr:rowOff>0</xdr:rowOff>
                  </from>
                  <to>
                    <xdr:col>10</xdr:col>
                    <xdr:colOff>47625</xdr:colOff>
                    <xdr:row>7</xdr:row>
                    <xdr:rowOff>9525</xdr:rowOff>
                  </to>
                </anchor>
              </controlPr>
            </control>
          </mc:Choice>
        </mc:AlternateContent>
        <mc:AlternateContent xmlns:mc="http://schemas.openxmlformats.org/markup-compatibility/2006">
          <mc:Choice Requires="x14">
            <control shapeId="1201" r:id="rId8" name="Check Box 177">
              <controlPr defaultSize="0" autoFill="0" autoLine="0" autoPict="0">
                <anchor moveWithCells="1">
                  <from>
                    <xdr:col>16</xdr:col>
                    <xdr:colOff>47625</xdr:colOff>
                    <xdr:row>6</xdr:row>
                    <xdr:rowOff>9525</xdr:rowOff>
                  </from>
                  <to>
                    <xdr:col>17</xdr:col>
                    <xdr:colOff>47625</xdr:colOff>
                    <xdr:row>6</xdr:row>
                    <xdr:rowOff>152400</xdr:rowOff>
                  </to>
                </anchor>
              </controlPr>
            </control>
          </mc:Choice>
        </mc:AlternateContent>
        <mc:AlternateContent xmlns:mc="http://schemas.openxmlformats.org/markup-compatibility/2006">
          <mc:Choice Requires="x14">
            <control shapeId="1202" r:id="rId9" name="Check Box 178">
              <controlPr defaultSize="0" autoFill="0" autoLine="0" autoPict="0">
                <anchor moveWithCells="1">
                  <from>
                    <xdr:col>17</xdr:col>
                    <xdr:colOff>47625</xdr:colOff>
                    <xdr:row>6</xdr:row>
                    <xdr:rowOff>0</xdr:rowOff>
                  </from>
                  <to>
                    <xdr:col>18</xdr:col>
                    <xdr:colOff>47625</xdr:colOff>
                    <xdr:row>7</xdr:row>
                    <xdr:rowOff>9525</xdr:rowOff>
                  </to>
                </anchor>
              </controlPr>
            </control>
          </mc:Choice>
        </mc:AlternateContent>
        <mc:AlternateContent xmlns:mc="http://schemas.openxmlformats.org/markup-compatibility/2006">
          <mc:Choice Requires="x14">
            <control shapeId="1203" r:id="rId10" name="Check Box 179">
              <controlPr defaultSize="0" autoFill="0" autoLine="0" autoPict="0">
                <anchor moveWithCells="1">
                  <from>
                    <xdr:col>12</xdr:col>
                    <xdr:colOff>47625</xdr:colOff>
                    <xdr:row>6</xdr:row>
                    <xdr:rowOff>9525</xdr:rowOff>
                  </from>
                  <to>
                    <xdr:col>13</xdr:col>
                    <xdr:colOff>47625</xdr:colOff>
                    <xdr:row>6</xdr:row>
                    <xdr:rowOff>152400</xdr:rowOff>
                  </to>
                </anchor>
              </controlPr>
            </control>
          </mc:Choice>
        </mc:AlternateContent>
        <mc:AlternateContent xmlns:mc="http://schemas.openxmlformats.org/markup-compatibility/2006">
          <mc:Choice Requires="x14">
            <control shapeId="1204" r:id="rId11" name="Check Box 180">
              <controlPr defaultSize="0" autoFill="0" autoLine="0" autoPict="0">
                <anchor moveWithCells="1">
                  <from>
                    <xdr:col>13</xdr:col>
                    <xdr:colOff>47625</xdr:colOff>
                    <xdr:row>6</xdr:row>
                    <xdr:rowOff>0</xdr:rowOff>
                  </from>
                  <to>
                    <xdr:col>14</xdr:col>
                    <xdr:colOff>47625</xdr:colOff>
                    <xdr:row>7</xdr:row>
                    <xdr:rowOff>9525</xdr:rowOff>
                  </to>
                </anchor>
              </controlPr>
            </control>
          </mc:Choice>
        </mc:AlternateContent>
        <mc:AlternateContent xmlns:mc="http://schemas.openxmlformats.org/markup-compatibility/2006">
          <mc:Choice Requires="x14">
            <control shapeId="1205" r:id="rId12" name="Check Box 181">
              <controlPr defaultSize="0" autoFill="0" autoLine="0" autoPict="0">
                <anchor moveWithCells="1">
                  <from>
                    <xdr:col>20</xdr:col>
                    <xdr:colOff>47625</xdr:colOff>
                    <xdr:row>6</xdr:row>
                    <xdr:rowOff>9525</xdr:rowOff>
                  </from>
                  <to>
                    <xdr:col>21</xdr:col>
                    <xdr:colOff>47625</xdr:colOff>
                    <xdr:row>6</xdr:row>
                    <xdr:rowOff>152400</xdr:rowOff>
                  </to>
                </anchor>
              </controlPr>
            </control>
          </mc:Choice>
        </mc:AlternateContent>
        <mc:AlternateContent xmlns:mc="http://schemas.openxmlformats.org/markup-compatibility/2006">
          <mc:Choice Requires="x14">
            <control shapeId="1206" r:id="rId13" name="Check Box 182">
              <controlPr defaultSize="0" autoFill="0" autoLine="0" autoPict="0">
                <anchor moveWithCells="1">
                  <from>
                    <xdr:col>21</xdr:col>
                    <xdr:colOff>47625</xdr:colOff>
                    <xdr:row>6</xdr:row>
                    <xdr:rowOff>0</xdr:rowOff>
                  </from>
                  <to>
                    <xdr:col>22</xdr:col>
                    <xdr:colOff>47625</xdr:colOff>
                    <xdr:row>7</xdr:row>
                    <xdr:rowOff>9525</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V23"/>
  <sheetViews>
    <sheetView zoomScale="80" zoomScaleNormal="80" workbookViewId="0">
      <selection activeCell="A7" sqref="A7:V7"/>
    </sheetView>
  </sheetViews>
  <sheetFormatPr defaultColWidth="9.140625" defaultRowHeight="12.75" x14ac:dyDescent="0.2"/>
  <cols>
    <col min="1" max="1" width="3.140625" style="118" customWidth="1"/>
    <col min="2" max="2" width="5.7109375" style="118" customWidth="1"/>
    <col min="3" max="6" width="5.7109375" style="1" customWidth="1"/>
    <col min="7" max="7" width="9.42578125" style="1" customWidth="1"/>
    <col min="8" max="8" width="7.7109375" style="1" customWidth="1"/>
    <col min="9" max="10" width="8.5703125" style="1" customWidth="1"/>
    <col min="11" max="11" width="9.42578125" style="1" customWidth="1"/>
    <col min="12" max="12" width="7.7109375" style="1" customWidth="1"/>
    <col min="13" max="14" width="8.5703125" style="1" customWidth="1"/>
    <col min="15" max="15" width="9.42578125" style="1" customWidth="1"/>
    <col min="16" max="16" width="7.7109375" style="1" customWidth="1"/>
    <col min="17" max="18" width="8.5703125" style="1" customWidth="1"/>
    <col min="19" max="19" width="9.42578125" style="1" customWidth="1"/>
    <col min="20" max="20" width="7.7109375" style="1" customWidth="1"/>
    <col min="21" max="22" width="8.7109375" style="1" customWidth="1"/>
    <col min="23" max="16384" width="9.140625" style="1"/>
  </cols>
  <sheetData>
    <row r="1" spans="1:22" s="6" customFormat="1" ht="30" customHeight="1" x14ac:dyDescent="0.2">
      <c r="A1" s="242" t="s">
        <v>165</v>
      </c>
      <c r="B1" s="242"/>
      <c r="C1" s="242"/>
      <c r="D1" s="242"/>
      <c r="E1" s="242"/>
      <c r="F1" s="242"/>
      <c r="G1" s="242"/>
      <c r="H1" s="242"/>
      <c r="I1" s="242"/>
      <c r="J1" s="242"/>
      <c r="K1" s="242"/>
      <c r="L1" s="242"/>
      <c r="M1" s="242"/>
      <c r="N1" s="242"/>
      <c r="O1" s="242"/>
      <c r="P1" s="242"/>
      <c r="Q1" s="242"/>
      <c r="R1" s="242"/>
      <c r="S1" s="242"/>
      <c r="T1" s="242"/>
      <c r="U1" s="213"/>
      <c r="V1" s="213"/>
    </row>
    <row r="2" spans="1:22" ht="30" customHeight="1" x14ac:dyDescent="0.2">
      <c r="A2" s="242" t="s">
        <v>166</v>
      </c>
      <c r="B2" s="242"/>
      <c r="C2" s="242"/>
      <c r="D2" s="242"/>
      <c r="E2" s="242"/>
      <c r="F2" s="242"/>
      <c r="G2" s="242"/>
      <c r="H2" s="242"/>
      <c r="I2" s="242"/>
      <c r="J2" s="242"/>
      <c r="K2" s="242"/>
      <c r="L2" s="242"/>
      <c r="M2" s="242"/>
      <c r="N2" s="242"/>
      <c r="O2" s="242"/>
      <c r="P2" s="242"/>
      <c r="Q2" s="242"/>
      <c r="R2" s="242"/>
      <c r="S2" s="242"/>
      <c r="T2" s="242"/>
      <c r="U2" s="213"/>
      <c r="V2" s="213"/>
    </row>
    <row r="3" spans="1:22" ht="30" customHeight="1" x14ac:dyDescent="0.2">
      <c r="A3" s="242" t="s">
        <v>167</v>
      </c>
      <c r="B3" s="242"/>
      <c r="C3" s="242"/>
      <c r="D3" s="242"/>
      <c r="E3" s="242"/>
      <c r="F3" s="242"/>
      <c r="G3" s="242"/>
      <c r="H3" s="242"/>
      <c r="I3" s="242"/>
      <c r="J3" s="242"/>
      <c r="K3" s="242"/>
      <c r="L3" s="242"/>
      <c r="M3" s="242"/>
      <c r="N3" s="242"/>
      <c r="O3" s="242"/>
      <c r="P3" s="242"/>
      <c r="Q3" s="242"/>
      <c r="R3" s="242"/>
      <c r="S3" s="242"/>
      <c r="T3" s="242"/>
      <c r="U3" s="213"/>
      <c r="V3" s="213"/>
    </row>
    <row r="4" spans="1:22" ht="30" customHeight="1" x14ac:dyDescent="0.2">
      <c r="A4" s="242" t="s">
        <v>168</v>
      </c>
      <c r="B4" s="242"/>
      <c r="C4" s="242"/>
      <c r="D4" s="242"/>
      <c r="E4" s="242"/>
      <c r="F4" s="242"/>
      <c r="G4" s="242"/>
      <c r="H4" s="242"/>
      <c r="I4" s="242"/>
      <c r="J4" s="242"/>
      <c r="K4" s="242"/>
      <c r="L4" s="242"/>
      <c r="M4" s="242"/>
      <c r="N4" s="242"/>
      <c r="O4" s="242"/>
      <c r="P4" s="242"/>
      <c r="Q4" s="242"/>
      <c r="R4" s="242"/>
      <c r="S4" s="242"/>
      <c r="T4" s="242"/>
      <c r="U4" s="213"/>
      <c r="V4" s="213"/>
    </row>
    <row r="5" spans="1:22" ht="30" customHeight="1" x14ac:dyDescent="0.2">
      <c r="A5" s="242" t="s">
        <v>169</v>
      </c>
      <c r="B5" s="242"/>
      <c r="C5" s="242"/>
      <c r="D5" s="242"/>
      <c r="E5" s="242"/>
      <c r="F5" s="242"/>
      <c r="G5" s="242"/>
      <c r="H5" s="242"/>
      <c r="I5" s="242"/>
      <c r="J5" s="242"/>
      <c r="K5" s="242"/>
      <c r="L5" s="242"/>
      <c r="M5" s="242"/>
      <c r="N5" s="242"/>
      <c r="O5" s="242"/>
      <c r="P5" s="242"/>
      <c r="Q5" s="242"/>
      <c r="R5" s="242"/>
      <c r="S5" s="242"/>
      <c r="T5" s="242"/>
      <c r="U5" s="213"/>
      <c r="V5" s="213"/>
    </row>
    <row r="6" spans="1:22" ht="30" customHeight="1" thickBot="1" x14ac:dyDescent="0.25">
      <c r="A6" s="232" t="s">
        <v>129</v>
      </c>
      <c r="B6" s="233"/>
      <c r="C6" s="233"/>
      <c r="D6" s="233"/>
      <c r="E6" s="233"/>
      <c r="F6" s="233"/>
      <c r="G6" s="233"/>
      <c r="H6" s="233"/>
      <c r="I6" s="233"/>
      <c r="J6" s="233"/>
      <c r="K6" s="233"/>
      <c r="L6" s="233"/>
      <c r="M6" s="233"/>
      <c r="N6" s="233"/>
      <c r="O6" s="233"/>
      <c r="P6" s="233"/>
      <c r="Q6" s="233"/>
      <c r="R6" s="233"/>
      <c r="S6" s="233"/>
      <c r="T6" s="233"/>
      <c r="U6" s="233"/>
      <c r="V6" s="233"/>
    </row>
    <row r="7" spans="1:22" ht="138.75" customHeight="1" thickBot="1" x14ac:dyDescent="0.25">
      <c r="A7" s="234"/>
      <c r="B7" s="235"/>
      <c r="C7" s="235"/>
      <c r="D7" s="235"/>
      <c r="E7" s="235"/>
      <c r="F7" s="235"/>
      <c r="G7" s="235"/>
      <c r="H7" s="235"/>
      <c r="I7" s="235"/>
      <c r="J7" s="235"/>
      <c r="K7" s="235"/>
      <c r="L7" s="235"/>
      <c r="M7" s="235"/>
      <c r="N7" s="235"/>
      <c r="O7" s="235"/>
      <c r="P7" s="235"/>
      <c r="Q7" s="235"/>
      <c r="R7" s="235"/>
      <c r="S7" s="235"/>
      <c r="T7" s="235"/>
      <c r="U7" s="235"/>
      <c r="V7" s="236"/>
    </row>
    <row r="8" spans="1:22" ht="15" customHeight="1" thickBot="1" x14ac:dyDescent="0.25">
      <c r="A8" s="237"/>
      <c r="B8" s="238"/>
      <c r="C8" s="238"/>
      <c r="D8" s="238"/>
      <c r="E8" s="238"/>
      <c r="F8" s="238"/>
      <c r="G8" s="238"/>
      <c r="H8" s="238"/>
      <c r="I8" s="238"/>
      <c r="J8" s="238"/>
      <c r="K8" s="238"/>
      <c r="L8" s="238"/>
      <c r="M8" s="238"/>
      <c r="N8" s="238"/>
      <c r="O8" s="238"/>
      <c r="P8" s="238"/>
      <c r="Q8" s="238"/>
      <c r="R8" s="238"/>
      <c r="S8" s="238"/>
      <c r="T8" s="238"/>
      <c r="U8" s="238"/>
      <c r="V8" s="238"/>
    </row>
    <row r="9" spans="1:22" ht="30.75" customHeight="1" thickBot="1" x14ac:dyDescent="0.25">
      <c r="A9" s="139" t="s">
        <v>9</v>
      </c>
      <c r="B9" s="238"/>
      <c r="C9" s="238"/>
      <c r="D9" s="238"/>
      <c r="E9" s="238"/>
      <c r="F9" s="238"/>
      <c r="G9" s="238"/>
      <c r="H9" s="238"/>
      <c r="I9" s="238"/>
      <c r="J9" s="238"/>
      <c r="K9" s="238"/>
      <c r="L9" s="239"/>
      <c r="M9" s="240" t="s">
        <v>10</v>
      </c>
      <c r="N9" s="238"/>
      <c r="O9" s="238"/>
      <c r="P9" s="238"/>
      <c r="Q9" s="238"/>
      <c r="R9" s="238"/>
      <c r="S9" s="238"/>
      <c r="T9" s="238"/>
      <c r="U9" s="238"/>
      <c r="V9" s="241"/>
    </row>
    <row r="10" spans="1:22" ht="30.75" customHeight="1" x14ac:dyDescent="0.2">
      <c r="A10" s="215" t="s">
        <v>134</v>
      </c>
      <c r="B10" s="216"/>
      <c r="C10" s="217"/>
      <c r="D10" s="218"/>
      <c r="E10" s="218"/>
      <c r="F10" s="218"/>
      <c r="G10" s="218"/>
      <c r="H10" s="218"/>
      <c r="I10" s="218"/>
      <c r="J10" s="218"/>
      <c r="K10" s="218"/>
      <c r="L10" s="219"/>
      <c r="M10" s="220" t="s">
        <v>130</v>
      </c>
      <c r="N10" s="216"/>
      <c r="O10" s="221"/>
      <c r="P10" s="221"/>
      <c r="Q10" s="221"/>
      <c r="R10" s="221"/>
      <c r="S10" s="221"/>
      <c r="T10" s="221"/>
      <c r="U10" s="221"/>
      <c r="V10" s="222"/>
    </row>
    <row r="11" spans="1:22" ht="30.75" customHeight="1" x14ac:dyDescent="0.2">
      <c r="A11" s="223" t="s">
        <v>135</v>
      </c>
      <c r="B11" s="224"/>
      <c r="C11" s="224"/>
      <c r="D11" s="225"/>
      <c r="E11" s="207"/>
      <c r="F11" s="226"/>
      <c r="G11" s="226"/>
      <c r="H11" s="226"/>
      <c r="I11" s="226"/>
      <c r="J11" s="226"/>
      <c r="K11" s="226"/>
      <c r="L11" s="105"/>
      <c r="M11" s="205" t="s">
        <v>131</v>
      </c>
      <c r="N11" s="224"/>
      <c r="O11" s="227"/>
      <c r="P11" s="228"/>
      <c r="Q11" s="228"/>
      <c r="R11" s="228"/>
      <c r="S11" s="228"/>
      <c r="T11" s="228"/>
      <c r="U11" s="228"/>
      <c r="V11" s="229"/>
    </row>
    <row r="12" spans="1:22" ht="30.75" customHeight="1" x14ac:dyDescent="0.2">
      <c r="A12" s="223" t="s">
        <v>136</v>
      </c>
      <c r="B12" s="224"/>
      <c r="C12" s="227"/>
      <c r="D12" s="227"/>
      <c r="E12" s="230"/>
      <c r="F12" s="231" t="s">
        <v>11</v>
      </c>
      <c r="G12" s="224"/>
      <c r="H12" s="224"/>
      <c r="I12" s="207"/>
      <c r="J12" s="203"/>
      <c r="K12" s="203"/>
      <c r="L12" s="204"/>
      <c r="M12" s="205" t="s">
        <v>132</v>
      </c>
      <c r="N12" s="224"/>
      <c r="O12" s="224"/>
      <c r="P12" s="212"/>
      <c r="Q12" s="213"/>
      <c r="R12" s="213"/>
      <c r="S12" s="213"/>
      <c r="T12" s="213"/>
      <c r="U12" s="213"/>
      <c r="V12" s="214"/>
    </row>
    <row r="13" spans="1:22" ht="30.75" customHeight="1" x14ac:dyDescent="0.2">
      <c r="A13" s="202" t="s">
        <v>156</v>
      </c>
      <c r="B13" s="203"/>
      <c r="C13" s="203"/>
      <c r="D13" s="203"/>
      <c r="E13" s="203"/>
      <c r="F13" s="203"/>
      <c r="G13" s="203"/>
      <c r="H13" s="203"/>
      <c r="I13" s="203"/>
      <c r="J13" s="203"/>
      <c r="K13" s="203"/>
      <c r="L13" s="204"/>
      <c r="M13" s="205" t="s">
        <v>133</v>
      </c>
      <c r="N13" s="206"/>
      <c r="O13" s="207"/>
      <c r="P13" s="203"/>
      <c r="Q13" s="203"/>
      <c r="R13" s="208" t="s">
        <v>155</v>
      </c>
      <c r="S13" s="206"/>
      <c r="T13" s="209"/>
      <c r="U13" s="210"/>
      <c r="V13" s="211"/>
    </row>
    <row r="14" spans="1:22" ht="22.5" customHeight="1" x14ac:dyDescent="0.2">
      <c r="A14" s="192"/>
      <c r="B14" s="175"/>
      <c r="C14" s="175"/>
      <c r="D14" s="175"/>
      <c r="E14" s="175"/>
      <c r="F14" s="175"/>
      <c r="G14" s="175"/>
      <c r="H14" s="175"/>
      <c r="I14" s="175"/>
      <c r="J14" s="195"/>
      <c r="K14" s="176"/>
      <c r="L14" s="196"/>
      <c r="M14" s="198"/>
      <c r="N14" s="175"/>
      <c r="O14" s="175"/>
      <c r="P14" s="175"/>
      <c r="Q14" s="175"/>
      <c r="R14" s="175"/>
      <c r="S14" s="175"/>
      <c r="T14" s="195"/>
      <c r="U14" s="176"/>
      <c r="V14" s="177"/>
    </row>
    <row r="15" spans="1:22" ht="22.5" customHeight="1" x14ac:dyDescent="0.2">
      <c r="A15" s="193"/>
      <c r="B15" s="194"/>
      <c r="C15" s="194"/>
      <c r="D15" s="194"/>
      <c r="E15" s="194"/>
      <c r="F15" s="194"/>
      <c r="G15" s="194"/>
      <c r="H15" s="194"/>
      <c r="I15" s="194"/>
      <c r="J15" s="195"/>
      <c r="K15" s="178"/>
      <c r="L15" s="197"/>
      <c r="M15" s="199"/>
      <c r="N15" s="194"/>
      <c r="O15" s="194"/>
      <c r="P15" s="194"/>
      <c r="Q15" s="194"/>
      <c r="R15" s="194"/>
      <c r="S15" s="194"/>
      <c r="T15" s="195"/>
      <c r="U15" s="178"/>
      <c r="V15" s="179"/>
    </row>
    <row r="16" spans="1:22" ht="30" customHeight="1" x14ac:dyDescent="0.2">
      <c r="A16" s="180" t="s">
        <v>12</v>
      </c>
      <c r="B16" s="181"/>
      <c r="C16" s="181"/>
      <c r="D16" s="181"/>
      <c r="E16" s="181"/>
      <c r="F16" s="181"/>
      <c r="G16" s="181"/>
      <c r="H16" s="181"/>
      <c r="I16" s="181"/>
      <c r="J16" s="195"/>
      <c r="K16" s="182" t="s">
        <v>1</v>
      </c>
      <c r="L16" s="183"/>
      <c r="M16" s="184" t="s">
        <v>12</v>
      </c>
      <c r="N16" s="181"/>
      <c r="O16" s="181"/>
      <c r="P16" s="181"/>
      <c r="Q16" s="181"/>
      <c r="R16" s="181"/>
      <c r="S16" s="181"/>
      <c r="T16" s="195"/>
      <c r="U16" s="182" t="s">
        <v>1</v>
      </c>
      <c r="V16" s="185"/>
    </row>
    <row r="17" spans="1:22" ht="68.25" customHeight="1" thickBot="1" x14ac:dyDescent="0.25">
      <c r="A17" s="186" t="s">
        <v>13</v>
      </c>
      <c r="B17" s="187"/>
      <c r="C17" s="187"/>
      <c r="D17" s="187"/>
      <c r="E17" s="187"/>
      <c r="F17" s="187"/>
      <c r="G17" s="187"/>
      <c r="H17" s="187"/>
      <c r="I17" s="187"/>
      <c r="J17" s="187"/>
      <c r="K17" s="187"/>
      <c r="L17" s="188"/>
      <c r="M17" s="189" t="s">
        <v>14</v>
      </c>
      <c r="N17" s="190"/>
      <c r="O17" s="190"/>
      <c r="P17" s="190"/>
      <c r="Q17" s="190"/>
      <c r="R17" s="190"/>
      <c r="S17" s="190"/>
      <c r="T17" s="190"/>
      <c r="U17" s="190"/>
      <c r="V17" s="191"/>
    </row>
    <row r="18" spans="1:22" ht="15" customHeight="1" x14ac:dyDescent="0.2">
      <c r="A18" s="200"/>
      <c r="B18" s="200"/>
      <c r="C18" s="200"/>
      <c r="D18" s="200"/>
      <c r="E18" s="200"/>
      <c r="F18" s="200"/>
      <c r="G18" s="200"/>
      <c r="H18" s="200"/>
      <c r="I18" s="200"/>
      <c r="J18" s="200"/>
      <c r="K18" s="200"/>
      <c r="L18" s="200"/>
      <c r="M18" s="200"/>
      <c r="N18" s="200"/>
      <c r="O18" s="200"/>
      <c r="P18" s="200"/>
      <c r="Q18" s="200"/>
      <c r="R18" s="200"/>
      <c r="S18" s="200"/>
      <c r="T18" s="200"/>
      <c r="U18" s="201"/>
      <c r="V18" s="201"/>
    </row>
    <row r="19" spans="1:22" ht="15" customHeight="1" x14ac:dyDescent="0.2">
      <c r="A19" s="173" t="s">
        <v>16</v>
      </c>
      <c r="B19" s="174"/>
      <c r="C19" s="174"/>
      <c r="D19" s="174"/>
      <c r="E19" s="174"/>
      <c r="F19" s="174"/>
      <c r="G19" s="174"/>
      <c r="H19" s="174"/>
      <c r="I19" s="174"/>
      <c r="J19" s="174"/>
      <c r="K19" s="174"/>
      <c r="L19" s="174"/>
      <c r="M19" s="174"/>
      <c r="N19" s="174"/>
      <c r="O19" s="174"/>
      <c r="P19" s="174"/>
      <c r="Q19" s="174"/>
      <c r="R19" s="174"/>
      <c r="S19" s="174"/>
      <c r="T19" s="174"/>
      <c r="U19" s="175"/>
      <c r="V19" s="175"/>
    </row>
    <row r="20" spans="1:22" ht="15" customHeight="1" x14ac:dyDescent="0.2">
      <c r="A20" s="173" t="s">
        <v>186</v>
      </c>
      <c r="B20" s="174"/>
      <c r="C20" s="174"/>
      <c r="D20" s="174"/>
      <c r="E20" s="174"/>
      <c r="F20" s="174"/>
      <c r="G20" s="174"/>
      <c r="H20" s="174"/>
      <c r="I20" s="174"/>
      <c r="J20" s="174"/>
      <c r="K20" s="174"/>
      <c r="L20" s="174"/>
      <c r="M20" s="174"/>
      <c r="N20" s="174"/>
      <c r="O20" s="174"/>
      <c r="P20" s="174"/>
      <c r="Q20" s="174"/>
      <c r="R20" s="174"/>
      <c r="S20" s="174"/>
      <c r="T20" s="174"/>
      <c r="U20" s="175"/>
      <c r="V20" s="175"/>
    </row>
    <row r="21" spans="1:22" ht="15" customHeight="1" x14ac:dyDescent="0.2">
      <c r="A21" s="173" t="s">
        <v>7</v>
      </c>
      <c r="B21" s="174"/>
      <c r="C21" s="174"/>
      <c r="D21" s="174"/>
      <c r="E21" s="174"/>
      <c r="F21" s="174"/>
      <c r="G21" s="174"/>
      <c r="H21" s="174"/>
      <c r="I21" s="174"/>
      <c r="J21" s="174"/>
      <c r="K21" s="174"/>
      <c r="L21" s="174"/>
      <c r="M21" s="174"/>
      <c r="N21" s="174"/>
      <c r="O21" s="174"/>
      <c r="P21" s="174"/>
      <c r="Q21" s="174"/>
      <c r="R21" s="174"/>
      <c r="S21" s="174"/>
      <c r="T21" s="174"/>
      <c r="U21" s="175"/>
      <c r="V21" s="175"/>
    </row>
    <row r="22" spans="1:22" ht="15" customHeight="1" x14ac:dyDescent="0.2">
      <c r="A22" s="173" t="s">
        <v>0</v>
      </c>
      <c r="B22" s="174"/>
      <c r="C22" s="174"/>
      <c r="D22" s="174"/>
      <c r="E22" s="174"/>
      <c r="F22" s="174"/>
      <c r="G22" s="174"/>
      <c r="H22" s="174"/>
      <c r="I22" s="174"/>
      <c r="J22" s="174"/>
      <c r="K22" s="174"/>
      <c r="L22" s="174"/>
      <c r="M22" s="174"/>
      <c r="N22" s="174"/>
      <c r="O22" s="174"/>
      <c r="P22" s="174"/>
      <c r="Q22" s="174"/>
      <c r="R22" s="174"/>
      <c r="S22" s="174"/>
      <c r="T22" s="174"/>
      <c r="U22" s="175"/>
      <c r="V22" s="175"/>
    </row>
    <row r="23" spans="1:22" ht="15" customHeight="1" x14ac:dyDescent="0.2">
      <c r="A23" s="173" t="s">
        <v>15</v>
      </c>
      <c r="B23" s="174"/>
      <c r="C23" s="174"/>
      <c r="D23" s="174"/>
      <c r="E23" s="174"/>
      <c r="F23" s="174"/>
      <c r="G23" s="174"/>
      <c r="H23" s="174"/>
      <c r="I23" s="174"/>
      <c r="J23" s="174"/>
      <c r="K23" s="174"/>
      <c r="L23" s="174"/>
      <c r="M23" s="174"/>
      <c r="N23" s="174"/>
      <c r="O23" s="174"/>
      <c r="P23" s="174"/>
      <c r="Q23" s="174"/>
      <c r="R23" s="174"/>
      <c r="S23" s="174"/>
      <c r="T23" s="174"/>
      <c r="U23" s="175"/>
      <c r="V23" s="175"/>
    </row>
  </sheetData>
  <sheetProtection password="CD14" sheet="1" objects="1" scenarios="1" selectLockedCells="1"/>
  <mergeCells count="47">
    <mergeCell ref="A1:V1"/>
    <mergeCell ref="A2:V2"/>
    <mergeCell ref="A3:V3"/>
    <mergeCell ref="A4:V4"/>
    <mergeCell ref="A5:V5"/>
    <mergeCell ref="A6:V6"/>
    <mergeCell ref="A7:V7"/>
    <mergeCell ref="A8:V8"/>
    <mergeCell ref="A9:L9"/>
    <mergeCell ref="M9:V9"/>
    <mergeCell ref="P12:V12"/>
    <mergeCell ref="A10:B10"/>
    <mergeCell ref="C10:L10"/>
    <mergeCell ref="M10:N10"/>
    <mergeCell ref="O10:V10"/>
    <mergeCell ref="A11:D11"/>
    <mergeCell ref="E11:K11"/>
    <mergeCell ref="M11:N11"/>
    <mergeCell ref="O11:V11"/>
    <mergeCell ref="A12:B12"/>
    <mergeCell ref="C12:E12"/>
    <mergeCell ref="F12:H12"/>
    <mergeCell ref="I12:L12"/>
    <mergeCell ref="M12:O12"/>
    <mergeCell ref="A19:V19"/>
    <mergeCell ref="A20:V20"/>
    <mergeCell ref="A13:L13"/>
    <mergeCell ref="M13:N13"/>
    <mergeCell ref="O13:Q13"/>
    <mergeCell ref="R13:S13"/>
    <mergeCell ref="T13:V13"/>
    <mergeCell ref="A21:V21"/>
    <mergeCell ref="A22:V22"/>
    <mergeCell ref="A23:V23"/>
    <mergeCell ref="U14:V15"/>
    <mergeCell ref="A16:I16"/>
    <mergeCell ref="K16:L16"/>
    <mergeCell ref="M16:S16"/>
    <mergeCell ref="U16:V16"/>
    <mergeCell ref="A17:L17"/>
    <mergeCell ref="M17:V17"/>
    <mergeCell ref="A14:I15"/>
    <mergeCell ref="J14:J16"/>
    <mergeCell ref="K14:L15"/>
    <mergeCell ref="M14:S15"/>
    <mergeCell ref="T14:T16"/>
    <mergeCell ref="A18:V18"/>
  </mergeCells>
  <printOptions horizontalCentered="1"/>
  <pageMargins left="0.28431321084864403" right="0.28431321084864403" top="0.5" bottom="0.1" header="0.2" footer="0.1"/>
  <pageSetup scale="79" orientation="landscape" r:id="rId1"/>
  <headerFooter alignWithMargins="0">
    <oddHeader>&amp;LFORM: NDAR-1 10-13&amp;C&amp;"Arial,Bold"&amp;12NON-DISCHARGE APPLICATION REPORT (NDAR-1)&amp;RPage _____ of _____</oddHeader>
  </headerFooter>
  <drawing r:id="rId2"/>
  <legacyDrawing r:id="rId3"/>
  <mc:AlternateContent xmlns:mc="http://schemas.openxmlformats.org/markup-compatibility/2006">
    <mc:Choice Requires="x14">
      <controls>
        <mc:AlternateContent xmlns:mc="http://schemas.openxmlformats.org/markup-compatibility/2006">
          <mc:Choice Requires="x14">
            <control shapeId="2049" r:id="rId4" name="Check Box 1">
              <controlPr defaultSize="0" autoFill="0" autoLine="0" autoPict="0">
                <anchor moveWithCells="1">
                  <from>
                    <xdr:col>8</xdr:col>
                    <xdr:colOff>180975</xdr:colOff>
                    <xdr:row>12</xdr:row>
                    <xdr:rowOff>47625</xdr:rowOff>
                  </from>
                  <to>
                    <xdr:col>9</xdr:col>
                    <xdr:colOff>114300</xdr:colOff>
                    <xdr:row>13</xdr:row>
                    <xdr:rowOff>0</xdr:rowOff>
                  </to>
                </anchor>
              </controlPr>
            </control>
          </mc:Choice>
        </mc:AlternateContent>
        <mc:AlternateContent xmlns:mc="http://schemas.openxmlformats.org/markup-compatibility/2006">
          <mc:Choice Requires="x14">
            <control shapeId="2050" r:id="rId5" name="Check Box 2">
              <controlPr defaultSize="0" autoFill="0" autoLine="0" autoPict="0">
                <anchor moveWithCells="1">
                  <from>
                    <xdr:col>9</xdr:col>
                    <xdr:colOff>142875</xdr:colOff>
                    <xdr:row>12</xdr:row>
                    <xdr:rowOff>47625</xdr:rowOff>
                  </from>
                  <to>
                    <xdr:col>10</xdr:col>
                    <xdr:colOff>47625</xdr:colOff>
                    <xdr:row>13</xdr:row>
                    <xdr:rowOff>0</xdr:rowOff>
                  </to>
                </anchor>
              </controlPr>
            </control>
          </mc:Choice>
        </mc:AlternateContent>
        <mc:AlternateContent xmlns:mc="http://schemas.openxmlformats.org/markup-compatibility/2006">
          <mc:Choice Requires="x14">
            <control shapeId="2051" r:id="rId6" name="Check Box 3">
              <controlPr defaultSize="0" autoFill="0" autoLine="0" autoPict="0">
                <anchor moveWithCells="1">
                  <from>
                    <xdr:col>18</xdr:col>
                    <xdr:colOff>85725</xdr:colOff>
                    <xdr:row>4</xdr:row>
                    <xdr:rowOff>47625</xdr:rowOff>
                  </from>
                  <to>
                    <xdr:col>19</xdr:col>
                    <xdr:colOff>238125</xdr:colOff>
                    <xdr:row>5</xdr:row>
                    <xdr:rowOff>0</xdr:rowOff>
                  </to>
                </anchor>
              </controlPr>
            </control>
          </mc:Choice>
        </mc:AlternateContent>
        <mc:AlternateContent xmlns:mc="http://schemas.openxmlformats.org/markup-compatibility/2006">
          <mc:Choice Requires="x14">
            <control shapeId="2052" r:id="rId7" name="Check Box 4">
              <controlPr defaultSize="0" autoFill="0" autoLine="0" autoPict="0">
                <anchor moveWithCells="1">
                  <from>
                    <xdr:col>19</xdr:col>
                    <xdr:colOff>247650</xdr:colOff>
                    <xdr:row>4</xdr:row>
                    <xdr:rowOff>47625</xdr:rowOff>
                  </from>
                  <to>
                    <xdr:col>21</xdr:col>
                    <xdr:colOff>209550</xdr:colOff>
                    <xdr:row>5</xdr:row>
                    <xdr:rowOff>0</xdr:rowOff>
                  </to>
                </anchor>
              </controlPr>
            </control>
          </mc:Choice>
        </mc:AlternateContent>
        <mc:AlternateContent xmlns:mc="http://schemas.openxmlformats.org/markup-compatibility/2006">
          <mc:Choice Requires="x14">
            <control shapeId="2063" r:id="rId8" name="Check Box 15">
              <controlPr defaultSize="0" autoFill="0" autoLine="0" autoPict="0">
                <anchor moveWithCells="1">
                  <from>
                    <xdr:col>18</xdr:col>
                    <xdr:colOff>85725</xdr:colOff>
                    <xdr:row>3</xdr:row>
                    <xdr:rowOff>47625</xdr:rowOff>
                  </from>
                  <to>
                    <xdr:col>19</xdr:col>
                    <xdr:colOff>238125</xdr:colOff>
                    <xdr:row>4</xdr:row>
                    <xdr:rowOff>0</xdr:rowOff>
                  </to>
                </anchor>
              </controlPr>
            </control>
          </mc:Choice>
        </mc:AlternateContent>
        <mc:AlternateContent xmlns:mc="http://schemas.openxmlformats.org/markup-compatibility/2006">
          <mc:Choice Requires="x14">
            <control shapeId="2064" r:id="rId9" name="Check Box 16">
              <controlPr defaultSize="0" autoFill="0" autoLine="0" autoPict="0">
                <anchor moveWithCells="1">
                  <from>
                    <xdr:col>19</xdr:col>
                    <xdr:colOff>247650</xdr:colOff>
                    <xdr:row>3</xdr:row>
                    <xdr:rowOff>47625</xdr:rowOff>
                  </from>
                  <to>
                    <xdr:col>21</xdr:col>
                    <xdr:colOff>209550</xdr:colOff>
                    <xdr:row>4</xdr:row>
                    <xdr:rowOff>0</xdr:rowOff>
                  </to>
                </anchor>
              </controlPr>
            </control>
          </mc:Choice>
        </mc:AlternateContent>
        <mc:AlternateContent xmlns:mc="http://schemas.openxmlformats.org/markup-compatibility/2006">
          <mc:Choice Requires="x14">
            <control shapeId="2065" r:id="rId10" name="Check Box 17">
              <controlPr defaultSize="0" autoFill="0" autoLine="0" autoPict="0">
                <anchor moveWithCells="1">
                  <from>
                    <xdr:col>18</xdr:col>
                    <xdr:colOff>85725</xdr:colOff>
                    <xdr:row>2</xdr:row>
                    <xdr:rowOff>47625</xdr:rowOff>
                  </from>
                  <to>
                    <xdr:col>19</xdr:col>
                    <xdr:colOff>238125</xdr:colOff>
                    <xdr:row>3</xdr:row>
                    <xdr:rowOff>0</xdr:rowOff>
                  </to>
                </anchor>
              </controlPr>
            </control>
          </mc:Choice>
        </mc:AlternateContent>
        <mc:AlternateContent xmlns:mc="http://schemas.openxmlformats.org/markup-compatibility/2006">
          <mc:Choice Requires="x14">
            <control shapeId="2066" r:id="rId11" name="Check Box 18">
              <controlPr defaultSize="0" autoFill="0" autoLine="0" autoPict="0">
                <anchor moveWithCells="1">
                  <from>
                    <xdr:col>19</xdr:col>
                    <xdr:colOff>247650</xdr:colOff>
                    <xdr:row>2</xdr:row>
                    <xdr:rowOff>47625</xdr:rowOff>
                  </from>
                  <to>
                    <xdr:col>21</xdr:col>
                    <xdr:colOff>209550</xdr:colOff>
                    <xdr:row>3</xdr:row>
                    <xdr:rowOff>0</xdr:rowOff>
                  </to>
                </anchor>
              </controlPr>
            </control>
          </mc:Choice>
        </mc:AlternateContent>
        <mc:AlternateContent xmlns:mc="http://schemas.openxmlformats.org/markup-compatibility/2006">
          <mc:Choice Requires="x14">
            <control shapeId="2067" r:id="rId12" name="Check Box 19">
              <controlPr defaultSize="0" autoFill="0" autoLine="0" autoPict="0">
                <anchor moveWithCells="1">
                  <from>
                    <xdr:col>18</xdr:col>
                    <xdr:colOff>85725</xdr:colOff>
                    <xdr:row>1</xdr:row>
                    <xdr:rowOff>47625</xdr:rowOff>
                  </from>
                  <to>
                    <xdr:col>19</xdr:col>
                    <xdr:colOff>238125</xdr:colOff>
                    <xdr:row>2</xdr:row>
                    <xdr:rowOff>0</xdr:rowOff>
                  </to>
                </anchor>
              </controlPr>
            </control>
          </mc:Choice>
        </mc:AlternateContent>
        <mc:AlternateContent xmlns:mc="http://schemas.openxmlformats.org/markup-compatibility/2006">
          <mc:Choice Requires="x14">
            <control shapeId="2068" r:id="rId13" name="Check Box 20">
              <controlPr defaultSize="0" autoFill="0" autoLine="0" autoPict="0">
                <anchor moveWithCells="1">
                  <from>
                    <xdr:col>19</xdr:col>
                    <xdr:colOff>247650</xdr:colOff>
                    <xdr:row>1</xdr:row>
                    <xdr:rowOff>47625</xdr:rowOff>
                  </from>
                  <to>
                    <xdr:col>21</xdr:col>
                    <xdr:colOff>209550</xdr:colOff>
                    <xdr:row>2</xdr:row>
                    <xdr:rowOff>0</xdr:rowOff>
                  </to>
                </anchor>
              </controlPr>
            </control>
          </mc:Choice>
        </mc:AlternateContent>
        <mc:AlternateContent xmlns:mc="http://schemas.openxmlformats.org/markup-compatibility/2006">
          <mc:Choice Requires="x14">
            <control shapeId="2069" r:id="rId14" name="Check Box 21">
              <controlPr defaultSize="0" autoFill="0" autoLine="0" autoPict="0">
                <anchor moveWithCells="1">
                  <from>
                    <xdr:col>18</xdr:col>
                    <xdr:colOff>85725</xdr:colOff>
                    <xdr:row>0</xdr:row>
                    <xdr:rowOff>47625</xdr:rowOff>
                  </from>
                  <to>
                    <xdr:col>19</xdr:col>
                    <xdr:colOff>238125</xdr:colOff>
                    <xdr:row>1</xdr:row>
                    <xdr:rowOff>0</xdr:rowOff>
                  </to>
                </anchor>
              </controlPr>
            </control>
          </mc:Choice>
        </mc:AlternateContent>
        <mc:AlternateContent xmlns:mc="http://schemas.openxmlformats.org/markup-compatibility/2006">
          <mc:Choice Requires="x14">
            <control shapeId="2070" r:id="rId15" name="Check Box 22">
              <controlPr defaultSize="0" autoFill="0" autoLine="0" autoPict="0">
                <anchor moveWithCells="1">
                  <from>
                    <xdr:col>19</xdr:col>
                    <xdr:colOff>247650</xdr:colOff>
                    <xdr:row>0</xdr:row>
                    <xdr:rowOff>47625</xdr:rowOff>
                  </from>
                  <to>
                    <xdr:col>21</xdr:col>
                    <xdr:colOff>209550</xdr:colOff>
                    <xdr:row>1</xdr:row>
                    <xdr:rowOff>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pageSetUpPr fitToPage="1"/>
  </sheetPr>
  <dimension ref="A1:F24"/>
  <sheetViews>
    <sheetView workbookViewId="0"/>
  </sheetViews>
  <sheetFormatPr defaultColWidth="22.28515625" defaultRowHeight="13.5" x14ac:dyDescent="0.2"/>
  <cols>
    <col min="1" max="16384" width="22.28515625" style="68"/>
  </cols>
  <sheetData>
    <row r="1" spans="1:6" ht="18" x14ac:dyDescent="0.2">
      <c r="A1" s="71" t="s">
        <v>178</v>
      </c>
      <c r="B1" s="72"/>
      <c r="C1" s="72"/>
      <c r="D1" s="72"/>
      <c r="E1" s="72"/>
      <c r="F1" s="73"/>
    </row>
    <row r="2" spans="1:6" ht="15" x14ac:dyDescent="0.25">
      <c r="A2" s="74"/>
      <c r="B2" s="75"/>
      <c r="C2" s="75"/>
      <c r="D2" s="75"/>
      <c r="E2" s="75"/>
      <c r="F2" s="76"/>
    </row>
    <row r="3" spans="1:6" x14ac:dyDescent="0.2">
      <c r="A3" s="77"/>
      <c r="B3" s="75"/>
      <c r="C3" s="75"/>
      <c r="D3" s="75"/>
      <c r="E3" s="75"/>
      <c r="F3" s="76"/>
    </row>
    <row r="4" spans="1:6" ht="15" x14ac:dyDescent="0.25">
      <c r="A4" s="74"/>
      <c r="B4" s="75"/>
      <c r="C4" s="75"/>
      <c r="D4" s="75"/>
      <c r="E4" s="75"/>
      <c r="F4" s="76"/>
    </row>
    <row r="5" spans="1:6" x14ac:dyDescent="0.2">
      <c r="A5" s="78"/>
      <c r="B5" s="75"/>
      <c r="C5" s="75"/>
      <c r="D5" s="75"/>
      <c r="E5" s="75"/>
      <c r="F5" s="76"/>
    </row>
    <row r="6" spans="1:6" ht="15" x14ac:dyDescent="0.2">
      <c r="A6" s="106" t="s">
        <v>179</v>
      </c>
      <c r="B6" s="75"/>
      <c r="C6" s="75"/>
      <c r="D6" s="75"/>
      <c r="E6" s="75"/>
      <c r="F6" s="76"/>
    </row>
    <row r="7" spans="1:6" ht="15" x14ac:dyDescent="0.2">
      <c r="A7" s="106"/>
      <c r="B7" s="75"/>
      <c r="C7" s="75"/>
      <c r="D7" s="75"/>
      <c r="E7" s="75"/>
      <c r="F7" s="76"/>
    </row>
    <row r="8" spans="1:6" x14ac:dyDescent="0.2">
      <c r="A8" s="107"/>
      <c r="B8" s="75"/>
      <c r="C8" s="75"/>
      <c r="D8" s="75"/>
      <c r="E8" s="75"/>
      <c r="F8" s="76"/>
    </row>
    <row r="9" spans="1:6" ht="15" x14ac:dyDescent="0.2">
      <c r="A9" s="106" t="s">
        <v>180</v>
      </c>
      <c r="B9" s="75"/>
      <c r="C9" s="75"/>
      <c r="D9" s="75"/>
      <c r="E9" s="75"/>
      <c r="F9" s="76"/>
    </row>
    <row r="10" spans="1:6" x14ac:dyDescent="0.2">
      <c r="A10" s="78"/>
      <c r="B10" s="75"/>
      <c r="C10" s="75"/>
      <c r="D10" s="75"/>
      <c r="E10" s="75"/>
      <c r="F10" s="76"/>
    </row>
    <row r="11" spans="1:6" x14ac:dyDescent="0.2">
      <c r="A11" s="78"/>
      <c r="B11" s="75"/>
      <c r="C11" s="75"/>
      <c r="D11" s="75"/>
      <c r="E11" s="75"/>
      <c r="F11" s="76"/>
    </row>
    <row r="12" spans="1:6" x14ac:dyDescent="0.2">
      <c r="A12" s="78"/>
      <c r="B12" s="75"/>
      <c r="C12" s="75"/>
      <c r="D12" s="75"/>
      <c r="E12" s="75"/>
      <c r="F12" s="76"/>
    </row>
    <row r="13" spans="1:6" x14ac:dyDescent="0.2">
      <c r="A13" s="78"/>
      <c r="B13" s="75"/>
      <c r="C13" s="75"/>
      <c r="D13" s="75"/>
      <c r="E13" s="75"/>
      <c r="F13" s="76"/>
    </row>
    <row r="14" spans="1:6" x14ac:dyDescent="0.2">
      <c r="A14" s="78"/>
      <c r="B14" s="75"/>
      <c r="C14" s="75"/>
      <c r="D14" s="75"/>
      <c r="E14" s="75"/>
      <c r="F14" s="76"/>
    </row>
    <row r="15" spans="1:6" x14ac:dyDescent="0.2">
      <c r="A15" s="78"/>
      <c r="B15" s="75"/>
      <c r="C15" s="75"/>
      <c r="D15" s="75"/>
      <c r="E15" s="75"/>
      <c r="F15" s="76"/>
    </row>
    <row r="16" spans="1:6" x14ac:dyDescent="0.2">
      <c r="A16" s="79"/>
      <c r="B16" s="80"/>
      <c r="C16" s="80"/>
      <c r="D16" s="80"/>
      <c r="E16" s="80"/>
      <c r="F16" s="81"/>
    </row>
    <row r="18" spans="1:2" ht="15.75" thickBot="1" x14ac:dyDescent="0.25">
      <c r="A18" s="243" t="s">
        <v>170</v>
      </c>
      <c r="B18" s="244"/>
    </row>
    <row r="19" spans="1:2" ht="15" x14ac:dyDescent="0.2">
      <c r="A19" s="69" t="s">
        <v>157</v>
      </c>
      <c r="B19" s="69" t="s">
        <v>159</v>
      </c>
    </row>
    <row r="20" spans="1:2" ht="15" x14ac:dyDescent="0.2">
      <c r="A20" s="70" t="s">
        <v>158</v>
      </c>
      <c r="B20" s="70" t="s">
        <v>160</v>
      </c>
    </row>
    <row r="21" spans="1:2" ht="15" x14ac:dyDescent="0.2">
      <c r="A21" s="70" t="s">
        <v>171</v>
      </c>
      <c r="B21" s="70" t="s">
        <v>161</v>
      </c>
    </row>
    <row r="22" spans="1:2" ht="15" x14ac:dyDescent="0.2">
      <c r="A22" s="70" t="s">
        <v>172</v>
      </c>
      <c r="B22" s="70" t="s">
        <v>162</v>
      </c>
    </row>
    <row r="23" spans="1:2" ht="15" x14ac:dyDescent="0.2">
      <c r="A23" s="70" t="s">
        <v>173</v>
      </c>
      <c r="B23" s="70" t="s">
        <v>164</v>
      </c>
    </row>
    <row r="24" spans="1:2" ht="15" x14ac:dyDescent="0.2">
      <c r="A24" s="70" t="s">
        <v>174</v>
      </c>
      <c r="B24" s="70" t="s">
        <v>163</v>
      </c>
    </row>
  </sheetData>
  <mergeCells count="1">
    <mergeCell ref="A18:B18"/>
  </mergeCells>
  <pageMargins left="0.7" right="0.7" top="0.75" bottom="0.75" header="0.3" footer="0.3"/>
  <pageSetup scale="68"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2:D101"/>
  <sheetViews>
    <sheetView workbookViewId="0"/>
  </sheetViews>
  <sheetFormatPr defaultColWidth="9.140625" defaultRowHeight="11.25" x14ac:dyDescent="0.2"/>
  <cols>
    <col min="1" max="1" width="7.85546875" style="4" bestFit="1" customWidth="1"/>
    <col min="2" max="2" width="11" style="4" bestFit="1" customWidth="1"/>
    <col min="3" max="3" width="4.42578125" style="4" bestFit="1" customWidth="1"/>
    <col min="4" max="16384" width="9.140625" style="4"/>
  </cols>
  <sheetData>
    <row r="2" spans="1:4" x14ac:dyDescent="0.2">
      <c r="A2" s="4" t="s">
        <v>117</v>
      </c>
      <c r="B2" s="4" t="s">
        <v>17</v>
      </c>
      <c r="C2" s="4">
        <v>2011</v>
      </c>
      <c r="D2" s="4" t="s">
        <v>159</v>
      </c>
    </row>
    <row r="3" spans="1:4" x14ac:dyDescent="0.2">
      <c r="A3" s="4" t="s">
        <v>118</v>
      </c>
      <c r="B3" s="4" t="s">
        <v>18</v>
      </c>
      <c r="C3" s="4">
        <f>1+C2</f>
        <v>2012</v>
      </c>
      <c r="D3" s="4" t="s">
        <v>160</v>
      </c>
    </row>
    <row r="4" spans="1:4" x14ac:dyDescent="0.2">
      <c r="A4" s="4" t="s">
        <v>119</v>
      </c>
      <c r="B4" s="4" t="s">
        <v>19</v>
      </c>
      <c r="C4" s="4">
        <f t="shared" ref="C4:C21" si="0">1+C3</f>
        <v>2013</v>
      </c>
      <c r="D4" s="4" t="s">
        <v>161</v>
      </c>
    </row>
    <row r="5" spans="1:4" x14ac:dyDescent="0.2">
      <c r="A5" s="4" t="s">
        <v>120</v>
      </c>
      <c r="B5" s="4" t="s">
        <v>20</v>
      </c>
      <c r="C5" s="4">
        <f t="shared" si="0"/>
        <v>2014</v>
      </c>
      <c r="D5" s="4" t="s">
        <v>162</v>
      </c>
    </row>
    <row r="6" spans="1:4" x14ac:dyDescent="0.2">
      <c r="A6" s="4" t="s">
        <v>121</v>
      </c>
      <c r="B6" s="4" t="s">
        <v>21</v>
      </c>
      <c r="C6" s="4">
        <f t="shared" si="0"/>
        <v>2015</v>
      </c>
      <c r="D6" s="4" t="s">
        <v>163</v>
      </c>
    </row>
    <row r="7" spans="1:4" x14ac:dyDescent="0.2">
      <c r="A7" s="4" t="s">
        <v>122</v>
      </c>
      <c r="B7" s="4" t="s">
        <v>22</v>
      </c>
      <c r="C7" s="4">
        <f t="shared" si="0"/>
        <v>2016</v>
      </c>
      <c r="D7" s="4" t="s">
        <v>164</v>
      </c>
    </row>
    <row r="8" spans="1:4" x14ac:dyDescent="0.2">
      <c r="A8" s="4" t="s">
        <v>123</v>
      </c>
      <c r="B8" s="4" t="s">
        <v>23</v>
      </c>
      <c r="C8" s="4">
        <f t="shared" si="0"/>
        <v>2017</v>
      </c>
    </row>
    <row r="9" spans="1:4" x14ac:dyDescent="0.2">
      <c r="A9" s="4" t="s">
        <v>124</v>
      </c>
      <c r="B9" s="4" t="s">
        <v>24</v>
      </c>
      <c r="C9" s="4">
        <f t="shared" si="0"/>
        <v>2018</v>
      </c>
    </row>
    <row r="10" spans="1:4" x14ac:dyDescent="0.2">
      <c r="A10" s="4" t="s">
        <v>125</v>
      </c>
      <c r="B10" s="4" t="s">
        <v>25</v>
      </c>
      <c r="C10" s="4">
        <f t="shared" si="0"/>
        <v>2019</v>
      </c>
    </row>
    <row r="11" spans="1:4" x14ac:dyDescent="0.2">
      <c r="A11" s="4" t="s">
        <v>126</v>
      </c>
      <c r="B11" s="4" t="s">
        <v>26</v>
      </c>
      <c r="C11" s="4">
        <f t="shared" si="0"/>
        <v>2020</v>
      </c>
    </row>
    <row r="12" spans="1:4" x14ac:dyDescent="0.2">
      <c r="A12" s="4" t="s">
        <v>127</v>
      </c>
      <c r="B12" s="4" t="s">
        <v>27</v>
      </c>
      <c r="C12" s="4">
        <f t="shared" si="0"/>
        <v>2021</v>
      </c>
    </row>
    <row r="13" spans="1:4" x14ac:dyDescent="0.2">
      <c r="A13" s="4" t="s">
        <v>128</v>
      </c>
      <c r="B13" s="4" t="s">
        <v>28</v>
      </c>
      <c r="C13" s="4">
        <f t="shared" si="0"/>
        <v>2022</v>
      </c>
    </row>
    <row r="14" spans="1:4" x14ac:dyDescent="0.2">
      <c r="B14" s="4" t="s">
        <v>29</v>
      </c>
      <c r="C14" s="4">
        <f t="shared" si="0"/>
        <v>2023</v>
      </c>
    </row>
    <row r="15" spans="1:4" x14ac:dyDescent="0.2">
      <c r="B15" s="4" t="s">
        <v>30</v>
      </c>
      <c r="C15" s="4">
        <f t="shared" si="0"/>
        <v>2024</v>
      </c>
    </row>
    <row r="16" spans="1:4" x14ac:dyDescent="0.2">
      <c r="B16" s="4" t="s">
        <v>31</v>
      </c>
      <c r="C16" s="4">
        <f t="shared" si="0"/>
        <v>2025</v>
      </c>
    </row>
    <row r="17" spans="2:3" x14ac:dyDescent="0.2">
      <c r="B17" s="4" t="s">
        <v>32</v>
      </c>
      <c r="C17" s="4">
        <f t="shared" si="0"/>
        <v>2026</v>
      </c>
    </row>
    <row r="18" spans="2:3" x14ac:dyDescent="0.2">
      <c r="B18" s="4" t="s">
        <v>33</v>
      </c>
      <c r="C18" s="4">
        <f t="shared" si="0"/>
        <v>2027</v>
      </c>
    </row>
    <row r="19" spans="2:3" x14ac:dyDescent="0.2">
      <c r="B19" s="4" t="s">
        <v>34</v>
      </c>
      <c r="C19" s="4">
        <f t="shared" si="0"/>
        <v>2028</v>
      </c>
    </row>
    <row r="20" spans="2:3" x14ac:dyDescent="0.2">
      <c r="B20" s="4" t="s">
        <v>35</v>
      </c>
      <c r="C20" s="4">
        <f t="shared" si="0"/>
        <v>2029</v>
      </c>
    </row>
    <row r="21" spans="2:3" x14ac:dyDescent="0.2">
      <c r="B21" s="4" t="s">
        <v>36</v>
      </c>
      <c r="C21" s="4">
        <f t="shared" si="0"/>
        <v>2030</v>
      </c>
    </row>
    <row r="22" spans="2:3" x14ac:dyDescent="0.2">
      <c r="B22" s="4" t="s">
        <v>37</v>
      </c>
    </row>
    <row r="23" spans="2:3" x14ac:dyDescent="0.2">
      <c r="B23" s="4" t="s">
        <v>38</v>
      </c>
    </row>
    <row r="24" spans="2:3" x14ac:dyDescent="0.2">
      <c r="B24" s="4" t="s">
        <v>39</v>
      </c>
    </row>
    <row r="25" spans="2:3" x14ac:dyDescent="0.2">
      <c r="B25" s="4" t="s">
        <v>40</v>
      </c>
    </row>
    <row r="26" spans="2:3" x14ac:dyDescent="0.2">
      <c r="B26" s="4" t="s">
        <v>41</v>
      </c>
    </row>
    <row r="27" spans="2:3" x14ac:dyDescent="0.2">
      <c r="B27" s="4" t="s">
        <v>42</v>
      </c>
    </row>
    <row r="28" spans="2:3" x14ac:dyDescent="0.2">
      <c r="B28" s="4" t="s">
        <v>43</v>
      </c>
    </row>
    <row r="29" spans="2:3" x14ac:dyDescent="0.2">
      <c r="B29" s="4" t="s">
        <v>44</v>
      </c>
    </row>
    <row r="30" spans="2:3" x14ac:dyDescent="0.2">
      <c r="B30" s="4" t="s">
        <v>45</v>
      </c>
    </row>
    <row r="31" spans="2:3" x14ac:dyDescent="0.2">
      <c r="B31" s="4" t="s">
        <v>46</v>
      </c>
    </row>
    <row r="32" spans="2:3" x14ac:dyDescent="0.2">
      <c r="B32" s="4" t="s">
        <v>47</v>
      </c>
    </row>
    <row r="33" spans="2:2" x14ac:dyDescent="0.2">
      <c r="B33" s="4" t="s">
        <v>48</v>
      </c>
    </row>
    <row r="34" spans="2:2" x14ac:dyDescent="0.2">
      <c r="B34" s="4" t="s">
        <v>49</v>
      </c>
    </row>
    <row r="35" spans="2:2" x14ac:dyDescent="0.2">
      <c r="B35" s="4" t="s">
        <v>50</v>
      </c>
    </row>
    <row r="36" spans="2:2" x14ac:dyDescent="0.2">
      <c r="B36" s="4" t="s">
        <v>51</v>
      </c>
    </row>
    <row r="37" spans="2:2" x14ac:dyDescent="0.2">
      <c r="B37" s="4" t="s">
        <v>52</v>
      </c>
    </row>
    <row r="38" spans="2:2" x14ac:dyDescent="0.2">
      <c r="B38" s="4" t="s">
        <v>53</v>
      </c>
    </row>
    <row r="39" spans="2:2" x14ac:dyDescent="0.2">
      <c r="B39" s="4" t="s">
        <v>54</v>
      </c>
    </row>
    <row r="40" spans="2:2" x14ac:dyDescent="0.2">
      <c r="B40" s="4" t="s">
        <v>55</v>
      </c>
    </row>
    <row r="41" spans="2:2" x14ac:dyDescent="0.2">
      <c r="B41" s="4" t="s">
        <v>56</v>
      </c>
    </row>
    <row r="42" spans="2:2" x14ac:dyDescent="0.2">
      <c r="B42" s="4" t="s">
        <v>57</v>
      </c>
    </row>
    <row r="43" spans="2:2" x14ac:dyDescent="0.2">
      <c r="B43" s="4" t="s">
        <v>58</v>
      </c>
    </row>
    <row r="44" spans="2:2" x14ac:dyDescent="0.2">
      <c r="B44" s="4" t="s">
        <v>59</v>
      </c>
    </row>
    <row r="45" spans="2:2" x14ac:dyDescent="0.2">
      <c r="B45" s="4" t="s">
        <v>60</v>
      </c>
    </row>
    <row r="46" spans="2:2" x14ac:dyDescent="0.2">
      <c r="B46" s="4" t="s">
        <v>61</v>
      </c>
    </row>
    <row r="47" spans="2:2" x14ac:dyDescent="0.2">
      <c r="B47" s="4" t="s">
        <v>62</v>
      </c>
    </row>
    <row r="48" spans="2:2" x14ac:dyDescent="0.2">
      <c r="B48" s="4" t="s">
        <v>63</v>
      </c>
    </row>
    <row r="49" spans="2:2" x14ac:dyDescent="0.2">
      <c r="B49" s="4" t="s">
        <v>64</v>
      </c>
    </row>
    <row r="50" spans="2:2" x14ac:dyDescent="0.2">
      <c r="B50" s="4" t="s">
        <v>65</v>
      </c>
    </row>
    <row r="51" spans="2:2" x14ac:dyDescent="0.2">
      <c r="B51" s="4" t="s">
        <v>66</v>
      </c>
    </row>
    <row r="52" spans="2:2" x14ac:dyDescent="0.2">
      <c r="B52" s="4" t="s">
        <v>67</v>
      </c>
    </row>
    <row r="53" spans="2:2" x14ac:dyDescent="0.2">
      <c r="B53" s="4" t="s">
        <v>68</v>
      </c>
    </row>
    <row r="54" spans="2:2" x14ac:dyDescent="0.2">
      <c r="B54" s="4" t="s">
        <v>69</v>
      </c>
    </row>
    <row r="55" spans="2:2" x14ac:dyDescent="0.2">
      <c r="B55" s="4" t="s">
        <v>70</v>
      </c>
    </row>
    <row r="56" spans="2:2" x14ac:dyDescent="0.2">
      <c r="B56" s="4" t="s">
        <v>71</v>
      </c>
    </row>
    <row r="57" spans="2:2" x14ac:dyDescent="0.2">
      <c r="B57" s="4" t="s">
        <v>72</v>
      </c>
    </row>
    <row r="58" spans="2:2" x14ac:dyDescent="0.2">
      <c r="B58" s="4" t="s">
        <v>73</v>
      </c>
    </row>
    <row r="59" spans="2:2" x14ac:dyDescent="0.2">
      <c r="B59" s="4" t="s">
        <v>74</v>
      </c>
    </row>
    <row r="60" spans="2:2" x14ac:dyDescent="0.2">
      <c r="B60" s="4" t="s">
        <v>75</v>
      </c>
    </row>
    <row r="61" spans="2:2" x14ac:dyDescent="0.2">
      <c r="B61" s="4" t="s">
        <v>76</v>
      </c>
    </row>
    <row r="62" spans="2:2" x14ac:dyDescent="0.2">
      <c r="B62" s="4" t="s">
        <v>77</v>
      </c>
    </row>
    <row r="63" spans="2:2" x14ac:dyDescent="0.2">
      <c r="B63" s="4" t="s">
        <v>78</v>
      </c>
    </row>
    <row r="64" spans="2:2" x14ac:dyDescent="0.2">
      <c r="B64" s="4" t="s">
        <v>79</v>
      </c>
    </row>
    <row r="65" spans="2:2" x14ac:dyDescent="0.2">
      <c r="B65" s="4" t="s">
        <v>80</v>
      </c>
    </row>
    <row r="66" spans="2:2" x14ac:dyDescent="0.2">
      <c r="B66" s="4" t="s">
        <v>81</v>
      </c>
    </row>
    <row r="67" spans="2:2" x14ac:dyDescent="0.2">
      <c r="B67" s="4" t="s">
        <v>82</v>
      </c>
    </row>
    <row r="68" spans="2:2" x14ac:dyDescent="0.2">
      <c r="B68" s="4" t="s">
        <v>83</v>
      </c>
    </row>
    <row r="69" spans="2:2" x14ac:dyDescent="0.2">
      <c r="B69" s="4" t="s">
        <v>84</v>
      </c>
    </row>
    <row r="70" spans="2:2" x14ac:dyDescent="0.2">
      <c r="B70" s="4" t="s">
        <v>85</v>
      </c>
    </row>
    <row r="71" spans="2:2" x14ac:dyDescent="0.2">
      <c r="B71" s="4" t="s">
        <v>86</v>
      </c>
    </row>
    <row r="72" spans="2:2" x14ac:dyDescent="0.2">
      <c r="B72" s="4" t="s">
        <v>87</v>
      </c>
    </row>
    <row r="73" spans="2:2" x14ac:dyDescent="0.2">
      <c r="B73" s="4" t="s">
        <v>88</v>
      </c>
    </row>
    <row r="74" spans="2:2" x14ac:dyDescent="0.2">
      <c r="B74" s="4" t="s">
        <v>89</v>
      </c>
    </row>
    <row r="75" spans="2:2" x14ac:dyDescent="0.2">
      <c r="B75" s="4" t="s">
        <v>90</v>
      </c>
    </row>
    <row r="76" spans="2:2" x14ac:dyDescent="0.2">
      <c r="B76" s="4" t="s">
        <v>91</v>
      </c>
    </row>
    <row r="77" spans="2:2" x14ac:dyDescent="0.2">
      <c r="B77" s="4" t="s">
        <v>92</v>
      </c>
    </row>
    <row r="78" spans="2:2" x14ac:dyDescent="0.2">
      <c r="B78" s="4" t="s">
        <v>93</v>
      </c>
    </row>
    <row r="79" spans="2:2" x14ac:dyDescent="0.2">
      <c r="B79" s="4" t="s">
        <v>94</v>
      </c>
    </row>
    <row r="80" spans="2:2" x14ac:dyDescent="0.2">
      <c r="B80" s="4" t="s">
        <v>95</v>
      </c>
    </row>
    <row r="81" spans="2:2" x14ac:dyDescent="0.2">
      <c r="B81" s="4" t="s">
        <v>96</v>
      </c>
    </row>
    <row r="82" spans="2:2" x14ac:dyDescent="0.2">
      <c r="B82" s="4" t="s">
        <v>97</v>
      </c>
    </row>
    <row r="83" spans="2:2" x14ac:dyDescent="0.2">
      <c r="B83" s="4" t="s">
        <v>98</v>
      </c>
    </row>
    <row r="84" spans="2:2" x14ac:dyDescent="0.2">
      <c r="B84" s="4" t="s">
        <v>99</v>
      </c>
    </row>
    <row r="85" spans="2:2" x14ac:dyDescent="0.2">
      <c r="B85" s="4" t="s">
        <v>100</v>
      </c>
    </row>
    <row r="86" spans="2:2" x14ac:dyDescent="0.2">
      <c r="B86" s="4" t="s">
        <v>101</v>
      </c>
    </row>
    <row r="87" spans="2:2" x14ac:dyDescent="0.2">
      <c r="B87" s="4" t="s">
        <v>102</v>
      </c>
    </row>
    <row r="88" spans="2:2" x14ac:dyDescent="0.2">
      <c r="B88" s="4" t="s">
        <v>103</v>
      </c>
    </row>
    <row r="89" spans="2:2" x14ac:dyDescent="0.2">
      <c r="B89" s="4" t="s">
        <v>104</v>
      </c>
    </row>
    <row r="90" spans="2:2" x14ac:dyDescent="0.2">
      <c r="B90" s="4" t="s">
        <v>105</v>
      </c>
    </row>
    <row r="91" spans="2:2" x14ac:dyDescent="0.2">
      <c r="B91" s="4" t="s">
        <v>106</v>
      </c>
    </row>
    <row r="92" spans="2:2" x14ac:dyDescent="0.2">
      <c r="B92" s="4" t="s">
        <v>107</v>
      </c>
    </row>
    <row r="93" spans="2:2" x14ac:dyDescent="0.2">
      <c r="B93" s="4" t="s">
        <v>108</v>
      </c>
    </row>
    <row r="94" spans="2:2" x14ac:dyDescent="0.2">
      <c r="B94" s="4" t="s">
        <v>109</v>
      </c>
    </row>
    <row r="95" spans="2:2" x14ac:dyDescent="0.2">
      <c r="B95" s="4" t="s">
        <v>110</v>
      </c>
    </row>
    <row r="96" spans="2:2" x14ac:dyDescent="0.2">
      <c r="B96" s="4" t="s">
        <v>111</v>
      </c>
    </row>
    <row r="97" spans="2:2" x14ac:dyDescent="0.2">
      <c r="B97" s="4" t="s">
        <v>112</v>
      </c>
    </row>
    <row r="98" spans="2:2" x14ac:dyDescent="0.2">
      <c r="B98" s="4" t="s">
        <v>113</v>
      </c>
    </row>
    <row r="99" spans="2:2" x14ac:dyDescent="0.2">
      <c r="B99" s="4" t="s">
        <v>114</v>
      </c>
    </row>
    <row r="100" spans="2:2" x14ac:dyDescent="0.2">
      <c r="B100" s="4" t="s">
        <v>115</v>
      </c>
    </row>
    <row r="101" spans="2:2" x14ac:dyDescent="0.2">
      <c r="B101" s="4" t="s">
        <v>116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D186843DF82C488DD5DCB115B5CB79" ma:contentTypeVersion="14" ma:contentTypeDescription="Create a new document." ma:contentTypeScope="" ma:versionID="79dabe216593fae1323b8fc3cd33f401">
  <xsd:schema xmlns:xsd="http://www.w3.org/2001/XMLSchema" xmlns:xs="http://www.w3.org/2001/XMLSchema" xmlns:p="http://schemas.microsoft.com/office/2006/metadata/properties" xmlns:ns1="http://schemas.microsoft.com/sharepoint/v3" xmlns:ns2="fc6f6cf5-ff34-441f-8d5b-a0231be517b4" xmlns:ns3="73ad5fed-5707-4707-ae54-2603e8bcafdd" targetNamespace="http://schemas.microsoft.com/office/2006/metadata/properties" ma:root="true" ma:fieldsID="2cf1faae664718e7a73095462f1eff71" ns1:_="" ns2:_="" ns3:_="">
    <xsd:import namespace="http://schemas.microsoft.com/sharepoint/v3"/>
    <xsd:import namespace="fc6f6cf5-ff34-441f-8d5b-a0231be517b4"/>
    <xsd:import namespace="73ad5fed-5707-4707-ae54-2603e8bcafdd"/>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3:SharedWithUsers" minOccurs="0"/>
                <xsd:element ref="ns3:SharedWithDetails" minOccurs="0"/>
                <xsd:element ref="ns1:_ip_UnifiedCompliancePolicyProperties" minOccurs="0"/>
                <xsd:element ref="ns1:_ip_UnifiedCompliancePolicyUIAction" minOccurs="0"/>
                <xsd:element ref="ns2:MediaServiceLocation" minOccurs="0"/>
                <xsd:element ref="ns2:MediaServiceGenerationTime" minOccurs="0"/>
                <xsd:element ref="ns2:MediaServiceEventHashCode"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5" nillable="true" ma:displayName="Unified Compliance Policy Properties" ma:hidden="true" ma:internalName="_ip_UnifiedCompliancePolicyProperties">
      <xsd:simpleType>
        <xsd:restriction base="dms:Note"/>
      </xsd:simpleType>
    </xsd:element>
    <xsd:element name="_ip_UnifiedCompliancePolicyUIAction" ma:index="16"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c6f6cf5-ff34-441f-8d5b-a0231be517b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3ad5fed-5707-4707-ae54-2603e8bcafdd"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6D700A28-7EB4-4144-AE5A-E2233217A8F1}">
  <ds:schemaRefs>
    <ds:schemaRef ds:uri="http://schemas.microsoft.com/sharepoint/v3/contenttype/forms"/>
  </ds:schemaRefs>
</ds:datastoreItem>
</file>

<file path=customXml/itemProps2.xml><?xml version="1.0" encoding="utf-8"?>
<ds:datastoreItem xmlns:ds="http://schemas.openxmlformats.org/officeDocument/2006/customXml" ds:itemID="{D7188BC7-EF9E-4A4D-BA1C-9EE550D4DA5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c6f6cf5-ff34-441f-8d5b-a0231be517b4"/>
    <ds:schemaRef ds:uri="73ad5fed-5707-4707-ae54-2603e8bcaf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F8E6A99-E565-4FB0-B506-87F3B8E9BAC2}">
  <ds:schemaRefs>
    <ds:schemaRef ds:uri="http://schemas.microsoft.com/office/2006/metadata/properties"/>
    <ds:schemaRef ds:uri="http://schemas.microsoft.com/office/infopath/2007/PartnerControls"/>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Page 1</vt:lpstr>
      <vt:lpstr>Certification Page</vt:lpstr>
      <vt:lpstr>Formulas &amp; Weather Codes</vt:lpstr>
      <vt:lpstr>Dropdown Menu</vt:lpstr>
      <vt:lpstr>County</vt:lpstr>
      <vt:lpstr>Month</vt:lpstr>
      <vt:lpstr>'Certification Page'!Print_Area</vt:lpstr>
      <vt:lpstr>'Page 1'!Print_Area</vt:lpstr>
      <vt:lpstr>Weather</vt:lpstr>
      <vt:lpstr>Year</vt:lpstr>
    </vt:vector>
  </TitlesOfParts>
  <Company>NCDENR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Daryl Merritt</dc:creator>
  <cp:lastModifiedBy>Lloyd, Chloe D</cp:lastModifiedBy>
  <cp:lastPrinted>2021-11-23T14:30:23Z</cp:lastPrinted>
  <dcterms:created xsi:type="dcterms:W3CDTF">2003-04-30T19:20:22Z</dcterms:created>
  <dcterms:modified xsi:type="dcterms:W3CDTF">2021-12-10T17:38:03Z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0x01010079D186843DF82C488DD5DCB115B5CB79</vt:lpwstr>
  </property>
</Properties>
</file>