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omments1.xml" ContentType="application/vnd.openxmlformats-officedocument.spreadsheetml.comments+xml"/>
  <Override PartName="/xl/drawings/drawing2.xml" ContentType="application/vnd.openxmlformats-officedocument.drawing+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527"/>
  <workbookPr codeName="ThisWorkbook"/>
  <mc:AlternateContent xmlns:mc="http://schemas.openxmlformats.org/markup-compatibility/2006">
    <mc:Choice Requires="x15">
      <x15ac:absPath xmlns:x15ac="http://schemas.microsoft.com/office/spreadsheetml/2010/11/ac" url="https://ncconnect-my.sharepoint.com/personal/chloe_lloyd_ncdenr_gov/Documents/Reporting Forms/"/>
    </mc:Choice>
  </mc:AlternateContent>
  <xr:revisionPtr revIDLastSave="2" documentId="8_{E22CBA46-21A8-40B1-86BB-F845B1BBAA55}" xr6:coauthVersionLast="47" xr6:coauthVersionMax="47" xr10:uidLastSave="{49B62620-6B42-4068-8072-64E09C4B9DBF}"/>
  <bookViews>
    <workbookView xWindow="-120" yWindow="-120" windowWidth="38640" windowHeight="21240" xr2:uid="{00000000-000D-0000-FFFF-FFFF00000000}"/>
  </bookViews>
  <sheets>
    <sheet name="PPI 001" sheetId="1" r:id="rId1"/>
    <sheet name="Certification Page" sheetId="9" r:id="rId2"/>
    <sheet name="PCS Parameter Codes" sheetId="7" r:id="rId3"/>
    <sheet name="Dropdown Menu" sheetId="8" state="hidden" r:id="rId4"/>
  </sheets>
  <definedNames>
    <definedName name="County">'Dropdown Menu'!$B$1:$B$101</definedName>
    <definedName name="Flow">'Dropdown Menu'!$F$1:$F$3</definedName>
    <definedName name="Month">'Dropdown Menu'!$A$1:$A$13</definedName>
    <definedName name="Parameters">'PCS Parameter Codes'!$B$1:$B$76</definedName>
    <definedName name="PCS">'PCS Parameter Codes'!$A$2:$A$76</definedName>
    <definedName name="PCSCODE">'PCS Parameter Codes'!$A$1:$A$76</definedName>
    <definedName name="PPI">'Dropdown Menu'!$D$1:$D$16</definedName>
    <definedName name="_xlnm.Print_Area" localSheetId="1">'Certification Page'!$A$1:$S$22</definedName>
    <definedName name="_xlnm.Print_Area" localSheetId="2">'PCS Parameter Codes'!$A$1:$D$76</definedName>
    <definedName name="_xlnm.Print_Area" localSheetId="0">'PPI 001'!$A$1:$S$43</definedName>
    <definedName name="Sample">'Dropdown Menu'!$E$1:$E$5</definedName>
    <definedName name="SampleType">'Dropdown Menu'!$E$2:$E$5</definedName>
    <definedName name="SamplingType">'Dropdown Menu'!$E$1:$E$4</definedName>
    <definedName name="Year">'Dropdown Menu'!$C$1:$C$21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37" i="1" l="1"/>
  <c r="S39" i="1"/>
  <c r="R39" i="1"/>
  <c r="Q39" i="1"/>
  <c r="P39" i="1"/>
  <c r="O39" i="1"/>
  <c r="N39" i="1"/>
  <c r="M39" i="1"/>
  <c r="L39" i="1"/>
  <c r="J39" i="1"/>
  <c r="I39" i="1"/>
  <c r="S38" i="1"/>
  <c r="R38" i="1"/>
  <c r="Q38" i="1"/>
  <c r="P38" i="1"/>
  <c r="O38" i="1"/>
  <c r="N38" i="1"/>
  <c r="M38" i="1"/>
  <c r="L38" i="1"/>
  <c r="J38" i="1"/>
  <c r="I38" i="1"/>
  <c r="S37" i="1"/>
  <c r="R37" i="1"/>
  <c r="Q37" i="1"/>
  <c r="P37" i="1"/>
  <c r="O37" i="1"/>
  <c r="N37" i="1"/>
  <c r="M37" i="1"/>
  <c r="L37" i="1"/>
  <c r="J37" i="1"/>
  <c r="I37" i="1"/>
  <c r="H39" i="1"/>
  <c r="H38" i="1"/>
  <c r="H37" i="1"/>
  <c r="S137" i="1"/>
  <c r="R137" i="1"/>
  <c r="Q137" i="1"/>
  <c r="P137" i="1"/>
  <c r="O137" i="1"/>
  <c r="N137" i="1"/>
  <c r="M137" i="1"/>
  <c r="L137" i="1"/>
  <c r="K137" i="1"/>
  <c r="J137" i="1"/>
  <c r="I137" i="1"/>
  <c r="H137" i="1"/>
  <c r="G137" i="1"/>
  <c r="F137" i="1"/>
  <c r="S136" i="1"/>
  <c r="R136" i="1"/>
  <c r="Q136" i="1"/>
  <c r="P136" i="1"/>
  <c r="O136" i="1"/>
  <c r="N136" i="1"/>
  <c r="M136" i="1"/>
  <c r="L136" i="1"/>
  <c r="K136" i="1"/>
  <c r="J136" i="1"/>
  <c r="I136" i="1"/>
  <c r="H136" i="1"/>
  <c r="G136" i="1"/>
  <c r="F136" i="1"/>
  <c r="S135" i="1"/>
  <c r="R135" i="1"/>
  <c r="Q135" i="1"/>
  <c r="P135" i="1"/>
  <c r="O135" i="1"/>
  <c r="N135" i="1"/>
  <c r="M135" i="1"/>
  <c r="L135" i="1"/>
  <c r="K135" i="1"/>
  <c r="J135" i="1"/>
  <c r="I135" i="1"/>
  <c r="H135" i="1"/>
  <c r="G135" i="1"/>
  <c r="F135" i="1"/>
  <c r="S134" i="1"/>
  <c r="R134" i="1"/>
  <c r="Q134" i="1"/>
  <c r="P134" i="1"/>
  <c r="O134" i="1"/>
  <c r="N134" i="1"/>
  <c r="M134" i="1"/>
  <c r="L134" i="1"/>
  <c r="K134" i="1"/>
  <c r="J134" i="1"/>
  <c r="I134" i="1"/>
  <c r="H134" i="1"/>
  <c r="G134" i="1"/>
  <c r="F134" i="1"/>
  <c r="S133" i="1"/>
  <c r="R133" i="1"/>
  <c r="Q133" i="1"/>
  <c r="P133" i="1"/>
  <c r="O133" i="1"/>
  <c r="N133" i="1"/>
  <c r="M133" i="1"/>
  <c r="L133" i="1"/>
  <c r="K133" i="1"/>
  <c r="J133" i="1"/>
  <c r="I133" i="1"/>
  <c r="H133" i="1"/>
  <c r="G133" i="1"/>
  <c r="F133" i="1"/>
  <c r="S132" i="1"/>
  <c r="R132" i="1"/>
  <c r="Q132" i="1"/>
  <c r="P132" i="1"/>
  <c r="O132" i="1"/>
  <c r="N132" i="1"/>
  <c r="M132" i="1"/>
  <c r="L132" i="1"/>
  <c r="K132" i="1"/>
  <c r="J132" i="1"/>
  <c r="I132" i="1"/>
  <c r="H132" i="1"/>
  <c r="G132" i="1"/>
  <c r="F132" i="1"/>
  <c r="S131" i="1"/>
  <c r="R131" i="1"/>
  <c r="Q131" i="1"/>
  <c r="P131" i="1"/>
  <c r="O131" i="1"/>
  <c r="N131" i="1"/>
  <c r="M131" i="1"/>
  <c r="L131" i="1"/>
  <c r="K131" i="1"/>
  <c r="J131" i="1"/>
  <c r="I131" i="1"/>
  <c r="H131" i="1"/>
  <c r="G131" i="1"/>
  <c r="F131" i="1"/>
  <c r="S130" i="1"/>
  <c r="R130" i="1"/>
  <c r="Q130" i="1"/>
  <c r="P130" i="1"/>
  <c r="O130" i="1"/>
  <c r="N130" i="1"/>
  <c r="M130" i="1"/>
  <c r="L130" i="1"/>
  <c r="K130" i="1"/>
  <c r="J130" i="1"/>
  <c r="I130" i="1"/>
  <c r="H130" i="1"/>
  <c r="G130" i="1"/>
  <c r="F130" i="1"/>
  <c r="S129" i="1"/>
  <c r="R129" i="1"/>
  <c r="Q129" i="1"/>
  <c r="P129" i="1"/>
  <c r="O129" i="1"/>
  <c r="N129" i="1"/>
  <c r="M129" i="1"/>
  <c r="L129" i="1"/>
  <c r="K129" i="1"/>
  <c r="J129" i="1"/>
  <c r="I129" i="1"/>
  <c r="H129" i="1"/>
  <c r="G129" i="1"/>
  <c r="F129" i="1"/>
  <c r="S128" i="1"/>
  <c r="R128" i="1"/>
  <c r="Q128" i="1"/>
  <c r="P128" i="1"/>
  <c r="O128" i="1"/>
  <c r="N128" i="1"/>
  <c r="M128" i="1"/>
  <c r="L128" i="1"/>
  <c r="K128" i="1"/>
  <c r="J128" i="1"/>
  <c r="I128" i="1"/>
  <c r="H128" i="1"/>
  <c r="G128" i="1"/>
  <c r="F128" i="1"/>
  <c r="S127" i="1"/>
  <c r="R127" i="1"/>
  <c r="Q127" i="1"/>
  <c r="P127" i="1"/>
  <c r="O127" i="1"/>
  <c r="N127" i="1"/>
  <c r="M127" i="1"/>
  <c r="L127" i="1"/>
  <c r="K127" i="1"/>
  <c r="J127" i="1"/>
  <c r="I127" i="1"/>
  <c r="H127" i="1"/>
  <c r="G127" i="1"/>
  <c r="F127" i="1"/>
  <c r="S126" i="1"/>
  <c r="R126" i="1"/>
  <c r="Q126" i="1"/>
  <c r="P126" i="1"/>
  <c r="O126" i="1"/>
  <c r="N126" i="1"/>
  <c r="M126" i="1"/>
  <c r="L126" i="1"/>
  <c r="K126" i="1"/>
  <c r="J126" i="1"/>
  <c r="I126" i="1"/>
  <c r="H126" i="1"/>
  <c r="G126" i="1"/>
  <c r="F126" i="1"/>
  <c r="S125" i="1"/>
  <c r="R125" i="1"/>
  <c r="Q125" i="1"/>
  <c r="P125" i="1"/>
  <c r="O125" i="1"/>
  <c r="N125" i="1"/>
  <c r="M125" i="1"/>
  <c r="L125" i="1"/>
  <c r="K125" i="1"/>
  <c r="J125" i="1"/>
  <c r="I125" i="1"/>
  <c r="H125" i="1"/>
  <c r="G125" i="1"/>
  <c r="F125" i="1"/>
  <c r="S124" i="1"/>
  <c r="R124" i="1"/>
  <c r="Q124" i="1"/>
  <c r="P124" i="1"/>
  <c r="O124" i="1"/>
  <c r="N124" i="1"/>
  <c r="M124" i="1"/>
  <c r="L124" i="1"/>
  <c r="K124" i="1"/>
  <c r="J124" i="1"/>
  <c r="I124" i="1"/>
  <c r="H124" i="1"/>
  <c r="G124" i="1"/>
  <c r="F124" i="1"/>
  <c r="S123" i="1"/>
  <c r="R123" i="1"/>
  <c r="Q123" i="1"/>
  <c r="P123" i="1"/>
  <c r="O123" i="1"/>
  <c r="N123" i="1"/>
  <c r="M123" i="1"/>
  <c r="L123" i="1"/>
  <c r="K123" i="1"/>
  <c r="J123" i="1"/>
  <c r="I123" i="1"/>
  <c r="H123" i="1"/>
  <c r="G123" i="1"/>
  <c r="F123" i="1"/>
  <c r="S122" i="1"/>
  <c r="R122" i="1"/>
  <c r="Q122" i="1"/>
  <c r="P122" i="1"/>
  <c r="O122" i="1"/>
  <c r="N122" i="1"/>
  <c r="M122" i="1"/>
  <c r="L122" i="1"/>
  <c r="K122" i="1"/>
  <c r="J122" i="1"/>
  <c r="I122" i="1"/>
  <c r="H122" i="1"/>
  <c r="G122" i="1"/>
  <c r="F122" i="1"/>
  <c r="S121" i="1"/>
  <c r="R121" i="1"/>
  <c r="Q121" i="1"/>
  <c r="P121" i="1"/>
  <c r="O121" i="1"/>
  <c r="N121" i="1"/>
  <c r="M121" i="1"/>
  <c r="L121" i="1"/>
  <c r="K121" i="1"/>
  <c r="J121" i="1"/>
  <c r="I121" i="1"/>
  <c r="H121" i="1"/>
  <c r="G121" i="1"/>
  <c r="F121" i="1"/>
  <c r="S120" i="1"/>
  <c r="R120" i="1"/>
  <c r="Q120" i="1"/>
  <c r="P120" i="1"/>
  <c r="O120" i="1"/>
  <c r="N120" i="1"/>
  <c r="M120" i="1"/>
  <c r="L120" i="1"/>
  <c r="K120" i="1"/>
  <c r="J120" i="1"/>
  <c r="I120" i="1"/>
  <c r="H120" i="1"/>
  <c r="G120" i="1"/>
  <c r="F120" i="1"/>
  <c r="S119" i="1"/>
  <c r="R119" i="1"/>
  <c r="Q119" i="1"/>
  <c r="P119" i="1"/>
  <c r="O119" i="1"/>
  <c r="N119" i="1"/>
  <c r="M119" i="1"/>
  <c r="L119" i="1"/>
  <c r="K119" i="1"/>
  <c r="J119" i="1"/>
  <c r="I119" i="1"/>
  <c r="H119" i="1"/>
  <c r="G119" i="1"/>
  <c r="F119" i="1"/>
  <c r="S118" i="1"/>
  <c r="R118" i="1"/>
  <c r="Q118" i="1"/>
  <c r="P118" i="1"/>
  <c r="O118" i="1"/>
  <c r="N118" i="1"/>
  <c r="M118" i="1"/>
  <c r="L118" i="1"/>
  <c r="K118" i="1"/>
  <c r="J118" i="1"/>
  <c r="I118" i="1"/>
  <c r="H118" i="1"/>
  <c r="G118" i="1"/>
  <c r="F118" i="1"/>
  <c r="S117" i="1"/>
  <c r="R117" i="1"/>
  <c r="Q117" i="1"/>
  <c r="P117" i="1"/>
  <c r="O117" i="1"/>
  <c r="N117" i="1"/>
  <c r="M117" i="1"/>
  <c r="L117" i="1"/>
  <c r="K117" i="1"/>
  <c r="J117" i="1"/>
  <c r="I117" i="1"/>
  <c r="H117" i="1"/>
  <c r="G117" i="1"/>
  <c r="F117" i="1"/>
  <c r="S116" i="1"/>
  <c r="R116" i="1"/>
  <c r="Q116" i="1"/>
  <c r="P116" i="1"/>
  <c r="O116" i="1"/>
  <c r="N116" i="1"/>
  <c r="M116" i="1"/>
  <c r="L116" i="1"/>
  <c r="K116" i="1"/>
  <c r="J116" i="1"/>
  <c r="I116" i="1"/>
  <c r="H116" i="1"/>
  <c r="G116" i="1"/>
  <c r="F116" i="1"/>
  <c r="S115" i="1"/>
  <c r="R115" i="1"/>
  <c r="Q115" i="1"/>
  <c r="P115" i="1"/>
  <c r="O115" i="1"/>
  <c r="N115" i="1"/>
  <c r="M115" i="1"/>
  <c r="L115" i="1"/>
  <c r="K115" i="1"/>
  <c r="J115" i="1"/>
  <c r="I115" i="1"/>
  <c r="H115" i="1"/>
  <c r="G115" i="1"/>
  <c r="F115" i="1"/>
  <c r="S114" i="1"/>
  <c r="R114" i="1"/>
  <c r="Q114" i="1"/>
  <c r="P114" i="1"/>
  <c r="O114" i="1"/>
  <c r="N114" i="1"/>
  <c r="M114" i="1"/>
  <c r="L114" i="1"/>
  <c r="K114" i="1"/>
  <c r="J114" i="1"/>
  <c r="I114" i="1"/>
  <c r="H114" i="1"/>
  <c r="G114" i="1"/>
  <c r="F114" i="1"/>
  <c r="S113" i="1"/>
  <c r="R113" i="1"/>
  <c r="Q113" i="1"/>
  <c r="P113" i="1"/>
  <c r="O113" i="1"/>
  <c r="N113" i="1"/>
  <c r="M113" i="1"/>
  <c r="L113" i="1"/>
  <c r="K113" i="1"/>
  <c r="J113" i="1"/>
  <c r="I113" i="1"/>
  <c r="H113" i="1"/>
  <c r="G113" i="1"/>
  <c r="F113" i="1"/>
  <c r="S112" i="1"/>
  <c r="R112" i="1"/>
  <c r="Q112" i="1"/>
  <c r="P112" i="1"/>
  <c r="O112" i="1"/>
  <c r="N112" i="1"/>
  <c r="M112" i="1"/>
  <c r="L112" i="1"/>
  <c r="K112" i="1"/>
  <c r="J112" i="1"/>
  <c r="I112" i="1"/>
  <c r="H112" i="1"/>
  <c r="G112" i="1"/>
  <c r="F112" i="1"/>
  <c r="S111" i="1"/>
  <c r="R111" i="1"/>
  <c r="Q111" i="1"/>
  <c r="P111" i="1"/>
  <c r="O111" i="1"/>
  <c r="N111" i="1"/>
  <c r="M111" i="1"/>
  <c r="L111" i="1"/>
  <c r="K111" i="1"/>
  <c r="J111" i="1"/>
  <c r="I111" i="1"/>
  <c r="H111" i="1"/>
  <c r="G111" i="1"/>
  <c r="F111" i="1"/>
  <c r="S110" i="1"/>
  <c r="R110" i="1"/>
  <c r="Q110" i="1"/>
  <c r="P110" i="1"/>
  <c r="O110" i="1"/>
  <c r="N110" i="1"/>
  <c r="M110" i="1"/>
  <c r="L110" i="1"/>
  <c r="K110" i="1"/>
  <c r="J110" i="1"/>
  <c r="I110" i="1"/>
  <c r="H110" i="1"/>
  <c r="G110" i="1"/>
  <c r="F110" i="1"/>
  <c r="S109" i="1"/>
  <c r="R109" i="1"/>
  <c r="Q109" i="1"/>
  <c r="P109" i="1"/>
  <c r="O109" i="1"/>
  <c r="N109" i="1"/>
  <c r="M109" i="1"/>
  <c r="L109" i="1"/>
  <c r="K109" i="1"/>
  <c r="J109" i="1"/>
  <c r="I109" i="1"/>
  <c r="H109" i="1"/>
  <c r="G109" i="1"/>
  <c r="F109" i="1"/>
  <c r="S108" i="1"/>
  <c r="R108" i="1"/>
  <c r="Q108" i="1"/>
  <c r="P108" i="1"/>
  <c r="O108" i="1"/>
  <c r="N108" i="1"/>
  <c r="M108" i="1"/>
  <c r="L108" i="1"/>
  <c r="K108" i="1"/>
  <c r="J108" i="1"/>
  <c r="I108" i="1"/>
  <c r="H108" i="1"/>
  <c r="G108" i="1"/>
  <c r="F108" i="1"/>
  <c r="S107" i="1"/>
  <c r="R107" i="1"/>
  <c r="Q107" i="1"/>
  <c r="P107" i="1"/>
  <c r="O107" i="1"/>
  <c r="N107" i="1"/>
  <c r="M107" i="1"/>
  <c r="L107" i="1"/>
  <c r="K107" i="1"/>
  <c r="J107" i="1"/>
  <c r="I107" i="1"/>
  <c r="H107" i="1"/>
  <c r="G107" i="1"/>
  <c r="F107"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S106" i="1"/>
  <c r="R106" i="1"/>
  <c r="Q106" i="1"/>
  <c r="P106" i="1"/>
  <c r="O106" i="1"/>
  <c r="N106" i="1"/>
  <c r="M106" i="1"/>
  <c r="L106" i="1"/>
  <c r="K106" i="1"/>
  <c r="J106" i="1"/>
  <c r="I106" i="1"/>
  <c r="H106" i="1"/>
  <c r="G106" i="1"/>
  <c r="F106" i="1"/>
  <c r="E106" i="1"/>
  <c r="S105" i="1"/>
  <c r="R105" i="1"/>
  <c r="Q105" i="1"/>
  <c r="P105" i="1"/>
  <c r="O105" i="1"/>
  <c r="N105" i="1"/>
  <c r="M105" i="1"/>
  <c r="L105" i="1"/>
  <c r="K105" i="1"/>
  <c r="J105" i="1"/>
  <c r="I105" i="1"/>
  <c r="H105" i="1"/>
  <c r="G105" i="1"/>
  <c r="F105" i="1"/>
  <c r="E105" i="1"/>
  <c r="S104" i="1"/>
  <c r="R104" i="1"/>
  <c r="Q104" i="1"/>
  <c r="P104" i="1"/>
  <c r="O104" i="1"/>
  <c r="N104" i="1"/>
  <c r="M104" i="1"/>
  <c r="L104" i="1"/>
  <c r="K104" i="1"/>
  <c r="J104" i="1"/>
  <c r="I104" i="1"/>
  <c r="H104" i="1"/>
  <c r="G104" i="1"/>
  <c r="F104" i="1"/>
  <c r="E104" i="1"/>
  <c r="S103" i="1"/>
  <c r="R103" i="1"/>
  <c r="Q103" i="1"/>
  <c r="P103" i="1"/>
  <c r="O103" i="1"/>
  <c r="N103" i="1"/>
  <c r="M103" i="1"/>
  <c r="L103" i="1"/>
  <c r="K103" i="1"/>
  <c r="J103" i="1"/>
  <c r="I103" i="1"/>
  <c r="H103" i="1"/>
  <c r="G103" i="1"/>
  <c r="F103" i="1"/>
  <c r="E103" i="1"/>
  <c r="S102" i="1"/>
  <c r="R102" i="1"/>
  <c r="Q102" i="1"/>
  <c r="P102" i="1"/>
  <c r="O102" i="1"/>
  <c r="N102" i="1"/>
  <c r="M102" i="1"/>
  <c r="L102" i="1"/>
  <c r="K102" i="1"/>
  <c r="J102" i="1"/>
  <c r="I102" i="1"/>
  <c r="H102" i="1"/>
  <c r="G102" i="1"/>
  <c r="F102" i="1"/>
  <c r="E102" i="1"/>
  <c r="S101" i="1"/>
  <c r="R101" i="1"/>
  <c r="Q101" i="1"/>
  <c r="P101" i="1"/>
  <c r="O101" i="1"/>
  <c r="N101" i="1"/>
  <c r="M101" i="1"/>
  <c r="L101" i="1"/>
  <c r="K101" i="1"/>
  <c r="J101" i="1"/>
  <c r="I101" i="1"/>
  <c r="H101" i="1"/>
  <c r="G101" i="1"/>
  <c r="F101" i="1"/>
  <c r="E101" i="1"/>
  <c r="S100" i="1"/>
  <c r="R100" i="1"/>
  <c r="Q100" i="1"/>
  <c r="P100" i="1"/>
  <c r="O100" i="1"/>
  <c r="N100" i="1"/>
  <c r="M100" i="1"/>
  <c r="L100" i="1"/>
  <c r="K100" i="1"/>
  <c r="J100" i="1"/>
  <c r="I100" i="1"/>
  <c r="H100" i="1"/>
  <c r="G100" i="1"/>
  <c r="F100" i="1"/>
  <c r="E100" i="1"/>
  <c r="S99" i="1"/>
  <c r="R99" i="1"/>
  <c r="Q99" i="1"/>
  <c r="P99" i="1"/>
  <c r="O99" i="1"/>
  <c r="N99" i="1"/>
  <c r="M99" i="1"/>
  <c r="L99" i="1"/>
  <c r="K99" i="1"/>
  <c r="J99" i="1"/>
  <c r="I99" i="1"/>
  <c r="H99" i="1"/>
  <c r="G99" i="1"/>
  <c r="F99" i="1"/>
  <c r="E99" i="1"/>
  <c r="S98" i="1"/>
  <c r="R98" i="1"/>
  <c r="Q98" i="1"/>
  <c r="P98" i="1"/>
  <c r="O98" i="1"/>
  <c r="N98" i="1"/>
  <c r="M98" i="1"/>
  <c r="L98" i="1"/>
  <c r="K98" i="1"/>
  <c r="J98" i="1"/>
  <c r="I98" i="1"/>
  <c r="H98" i="1"/>
  <c r="G98" i="1"/>
  <c r="F98" i="1"/>
  <c r="E98" i="1"/>
  <c r="S97" i="1"/>
  <c r="R97" i="1"/>
  <c r="Q97" i="1"/>
  <c r="P97" i="1"/>
  <c r="O97" i="1"/>
  <c r="N97" i="1"/>
  <c r="M97" i="1"/>
  <c r="L97" i="1"/>
  <c r="K97" i="1"/>
  <c r="J97" i="1"/>
  <c r="I97" i="1"/>
  <c r="H97" i="1"/>
  <c r="G97" i="1"/>
  <c r="F97" i="1"/>
  <c r="E97" i="1"/>
  <c r="S96" i="1"/>
  <c r="R96" i="1"/>
  <c r="Q96" i="1"/>
  <c r="P96" i="1"/>
  <c r="O96" i="1"/>
  <c r="N96" i="1"/>
  <c r="M96" i="1"/>
  <c r="L96" i="1"/>
  <c r="K96" i="1"/>
  <c r="J96" i="1"/>
  <c r="I96" i="1"/>
  <c r="H96" i="1"/>
  <c r="G96" i="1"/>
  <c r="F96" i="1"/>
  <c r="E96" i="1"/>
  <c r="S95" i="1"/>
  <c r="R95" i="1"/>
  <c r="Q95" i="1"/>
  <c r="P95" i="1"/>
  <c r="O95" i="1"/>
  <c r="N95" i="1"/>
  <c r="M95" i="1"/>
  <c r="L95" i="1"/>
  <c r="K95" i="1"/>
  <c r="J95" i="1"/>
  <c r="I95" i="1"/>
  <c r="H95" i="1"/>
  <c r="G95" i="1"/>
  <c r="F95" i="1"/>
  <c r="E95" i="1"/>
  <c r="S94" i="1"/>
  <c r="R94" i="1"/>
  <c r="Q94" i="1"/>
  <c r="P94" i="1"/>
  <c r="O94" i="1"/>
  <c r="N94" i="1"/>
  <c r="M94" i="1"/>
  <c r="L94" i="1"/>
  <c r="K94" i="1"/>
  <c r="J94" i="1"/>
  <c r="I94" i="1"/>
  <c r="H94" i="1"/>
  <c r="G94" i="1"/>
  <c r="F94" i="1"/>
  <c r="E94" i="1"/>
  <c r="S93" i="1"/>
  <c r="R93" i="1"/>
  <c r="Q93" i="1"/>
  <c r="P93" i="1"/>
  <c r="O93" i="1"/>
  <c r="N93" i="1"/>
  <c r="M93" i="1"/>
  <c r="L93" i="1"/>
  <c r="K93" i="1"/>
  <c r="J93" i="1"/>
  <c r="I93" i="1"/>
  <c r="H93" i="1"/>
  <c r="G93" i="1"/>
  <c r="F93" i="1"/>
  <c r="E93" i="1"/>
  <c r="S92" i="1"/>
  <c r="R92" i="1"/>
  <c r="Q92" i="1"/>
  <c r="P92" i="1"/>
  <c r="O92" i="1"/>
  <c r="N92" i="1"/>
  <c r="M92" i="1"/>
  <c r="L92" i="1"/>
  <c r="K92" i="1"/>
  <c r="J92" i="1"/>
  <c r="I92" i="1"/>
  <c r="H92" i="1"/>
  <c r="G92" i="1"/>
  <c r="F92" i="1"/>
  <c r="E92" i="1"/>
  <c r="S91" i="1"/>
  <c r="R91" i="1"/>
  <c r="Q91" i="1"/>
  <c r="P91" i="1"/>
  <c r="O91" i="1"/>
  <c r="N91" i="1"/>
  <c r="M91" i="1"/>
  <c r="L91" i="1"/>
  <c r="K91" i="1"/>
  <c r="J91" i="1"/>
  <c r="I91" i="1"/>
  <c r="H91" i="1"/>
  <c r="G91" i="1"/>
  <c r="F91" i="1"/>
  <c r="E91" i="1"/>
  <c r="S90" i="1"/>
  <c r="R90" i="1"/>
  <c r="Q90" i="1"/>
  <c r="P90" i="1"/>
  <c r="O90" i="1"/>
  <c r="N90" i="1"/>
  <c r="M90" i="1"/>
  <c r="L90" i="1"/>
  <c r="K90" i="1"/>
  <c r="J90" i="1"/>
  <c r="I90" i="1"/>
  <c r="H90" i="1"/>
  <c r="G90" i="1"/>
  <c r="F90" i="1"/>
  <c r="E90" i="1"/>
  <c r="S89" i="1"/>
  <c r="R89" i="1"/>
  <c r="Q89" i="1"/>
  <c r="P89" i="1"/>
  <c r="O89" i="1"/>
  <c r="N89" i="1"/>
  <c r="M89" i="1"/>
  <c r="L89" i="1"/>
  <c r="K89" i="1"/>
  <c r="J89" i="1"/>
  <c r="I89" i="1"/>
  <c r="H89" i="1"/>
  <c r="G89" i="1"/>
  <c r="F89" i="1"/>
  <c r="E89" i="1"/>
  <c r="S88" i="1"/>
  <c r="R88" i="1"/>
  <c r="Q88" i="1"/>
  <c r="P88" i="1"/>
  <c r="O88" i="1"/>
  <c r="N88" i="1"/>
  <c r="M88" i="1"/>
  <c r="L88" i="1"/>
  <c r="K88" i="1"/>
  <c r="J88" i="1"/>
  <c r="I88" i="1"/>
  <c r="H88" i="1"/>
  <c r="G88" i="1"/>
  <c r="F88" i="1"/>
  <c r="E88" i="1"/>
  <c r="S87" i="1"/>
  <c r="R87" i="1"/>
  <c r="Q87" i="1"/>
  <c r="P87" i="1"/>
  <c r="O87" i="1"/>
  <c r="N87" i="1"/>
  <c r="M87" i="1"/>
  <c r="L87" i="1"/>
  <c r="K87" i="1"/>
  <c r="J87" i="1"/>
  <c r="I87" i="1"/>
  <c r="H87" i="1"/>
  <c r="G87" i="1"/>
  <c r="F87" i="1"/>
  <c r="E87" i="1"/>
  <c r="S86" i="1"/>
  <c r="R86" i="1"/>
  <c r="Q86" i="1"/>
  <c r="P86" i="1"/>
  <c r="O86" i="1"/>
  <c r="N86" i="1"/>
  <c r="M86" i="1"/>
  <c r="L86" i="1"/>
  <c r="K86" i="1"/>
  <c r="J86" i="1"/>
  <c r="I86" i="1"/>
  <c r="H86" i="1"/>
  <c r="G86" i="1"/>
  <c r="F86" i="1"/>
  <c r="E86" i="1"/>
  <c r="S85" i="1"/>
  <c r="R85" i="1"/>
  <c r="Q85" i="1"/>
  <c r="P85" i="1"/>
  <c r="O85" i="1"/>
  <c r="N85" i="1"/>
  <c r="M85" i="1"/>
  <c r="L85" i="1"/>
  <c r="K85" i="1"/>
  <c r="J85" i="1"/>
  <c r="I85" i="1"/>
  <c r="H85" i="1"/>
  <c r="G85" i="1"/>
  <c r="F85" i="1"/>
  <c r="E85" i="1"/>
  <c r="S84" i="1"/>
  <c r="R84" i="1"/>
  <c r="Q84" i="1"/>
  <c r="P84" i="1"/>
  <c r="O84" i="1"/>
  <c r="N84" i="1"/>
  <c r="M84" i="1"/>
  <c r="L84" i="1"/>
  <c r="K84" i="1"/>
  <c r="J84" i="1"/>
  <c r="I84" i="1"/>
  <c r="H84" i="1"/>
  <c r="G84" i="1"/>
  <c r="F84" i="1"/>
  <c r="E84" i="1"/>
  <c r="S83" i="1"/>
  <c r="R83" i="1"/>
  <c r="Q83" i="1"/>
  <c r="P83" i="1"/>
  <c r="O83" i="1"/>
  <c r="N83" i="1"/>
  <c r="M83" i="1"/>
  <c r="L83" i="1"/>
  <c r="K83" i="1"/>
  <c r="J83" i="1"/>
  <c r="I83" i="1"/>
  <c r="H83" i="1"/>
  <c r="G83" i="1"/>
  <c r="F83" i="1"/>
  <c r="E83" i="1"/>
  <c r="S82" i="1"/>
  <c r="R82" i="1"/>
  <c r="Q82" i="1"/>
  <c r="P82" i="1"/>
  <c r="O82" i="1"/>
  <c r="N82" i="1"/>
  <c r="M82" i="1"/>
  <c r="L82" i="1"/>
  <c r="K82" i="1"/>
  <c r="J82" i="1"/>
  <c r="I82" i="1"/>
  <c r="H82" i="1"/>
  <c r="G82" i="1"/>
  <c r="F82" i="1"/>
  <c r="E82" i="1"/>
  <c r="S81" i="1"/>
  <c r="R81" i="1"/>
  <c r="Q81" i="1"/>
  <c r="P81" i="1"/>
  <c r="O81" i="1"/>
  <c r="N81" i="1"/>
  <c r="M81" i="1"/>
  <c r="L81" i="1"/>
  <c r="K81" i="1"/>
  <c r="J81" i="1"/>
  <c r="I81" i="1"/>
  <c r="H81" i="1"/>
  <c r="G81" i="1"/>
  <c r="F81" i="1"/>
  <c r="E81" i="1"/>
  <c r="S80" i="1"/>
  <c r="R80" i="1"/>
  <c r="Q80" i="1"/>
  <c r="P80" i="1"/>
  <c r="O80" i="1"/>
  <c r="N80" i="1"/>
  <c r="M80" i="1"/>
  <c r="L80" i="1"/>
  <c r="K80" i="1"/>
  <c r="J80" i="1"/>
  <c r="I80" i="1"/>
  <c r="H80" i="1"/>
  <c r="G80" i="1"/>
  <c r="F80" i="1"/>
  <c r="E80" i="1"/>
  <c r="S79" i="1"/>
  <c r="R79" i="1"/>
  <c r="Q79" i="1"/>
  <c r="P79" i="1"/>
  <c r="O79" i="1"/>
  <c r="N79" i="1"/>
  <c r="M79" i="1"/>
  <c r="L79" i="1"/>
  <c r="K79" i="1"/>
  <c r="J79" i="1"/>
  <c r="I79" i="1"/>
  <c r="H79" i="1"/>
  <c r="G79" i="1"/>
  <c r="F79" i="1"/>
  <c r="E79" i="1"/>
  <c r="S78" i="1"/>
  <c r="R78" i="1"/>
  <c r="Q78" i="1"/>
  <c r="P78" i="1"/>
  <c r="O78" i="1"/>
  <c r="N78" i="1"/>
  <c r="M78" i="1"/>
  <c r="L78" i="1"/>
  <c r="K78" i="1"/>
  <c r="J78" i="1"/>
  <c r="I78" i="1"/>
  <c r="H78" i="1"/>
  <c r="G78" i="1"/>
  <c r="F78" i="1"/>
  <c r="E78" i="1"/>
  <c r="S77" i="1"/>
  <c r="R77" i="1"/>
  <c r="Q77" i="1"/>
  <c r="P77" i="1"/>
  <c r="O77" i="1"/>
  <c r="N77" i="1"/>
  <c r="M77" i="1"/>
  <c r="L77" i="1"/>
  <c r="K77" i="1"/>
  <c r="J77" i="1"/>
  <c r="I77" i="1"/>
  <c r="H77" i="1"/>
  <c r="G77" i="1"/>
  <c r="F77" i="1"/>
  <c r="E77" i="1"/>
  <c r="S76" i="1"/>
  <c r="R76" i="1"/>
  <c r="Q76" i="1"/>
  <c r="P76" i="1"/>
  <c r="O76" i="1"/>
  <c r="N76" i="1"/>
  <c r="M76" i="1"/>
  <c r="L76" i="1"/>
  <c r="K76" i="1"/>
  <c r="J76" i="1"/>
  <c r="I76" i="1"/>
  <c r="H76" i="1"/>
  <c r="G76" i="1"/>
  <c r="F76" i="1"/>
  <c r="E76" i="1"/>
  <c r="S75" i="1"/>
  <c r="R75" i="1"/>
  <c r="Q75" i="1"/>
  <c r="P75" i="1"/>
  <c r="O75" i="1"/>
  <c r="N75" i="1"/>
  <c r="M75" i="1"/>
  <c r="L75" i="1"/>
  <c r="K75" i="1"/>
  <c r="J75" i="1"/>
  <c r="I75" i="1"/>
  <c r="H75" i="1"/>
  <c r="G75" i="1"/>
  <c r="F75" i="1"/>
  <c r="E75" i="1"/>
  <c r="S74" i="1"/>
  <c r="R74" i="1"/>
  <c r="Q74" i="1"/>
  <c r="P74" i="1"/>
  <c r="O74" i="1"/>
  <c r="N74" i="1"/>
  <c r="M74" i="1"/>
  <c r="L74" i="1"/>
  <c r="K74" i="1"/>
  <c r="J74" i="1"/>
  <c r="I74" i="1"/>
  <c r="H74" i="1"/>
  <c r="G74" i="1"/>
  <c r="F74" i="1"/>
  <c r="E74" i="1"/>
  <c r="S73" i="1"/>
  <c r="R73" i="1"/>
  <c r="Q73" i="1"/>
  <c r="P73" i="1"/>
  <c r="O73" i="1"/>
  <c r="N73" i="1"/>
  <c r="M73" i="1"/>
  <c r="L73" i="1"/>
  <c r="K73" i="1"/>
  <c r="J73" i="1"/>
  <c r="I73" i="1"/>
  <c r="H73" i="1"/>
  <c r="G73" i="1"/>
  <c r="F73" i="1"/>
  <c r="E73" i="1"/>
  <c r="S72" i="1"/>
  <c r="R72" i="1"/>
  <c r="Q72" i="1"/>
  <c r="P72" i="1"/>
  <c r="O72" i="1"/>
  <c r="N72" i="1"/>
  <c r="M72" i="1"/>
  <c r="L72" i="1"/>
  <c r="K72" i="1"/>
  <c r="J72" i="1"/>
  <c r="I72" i="1"/>
  <c r="H72" i="1"/>
  <c r="G72" i="1"/>
  <c r="F72" i="1"/>
  <c r="E72" i="1"/>
  <c r="S71" i="1"/>
  <c r="R71" i="1"/>
  <c r="Q71" i="1"/>
  <c r="P71" i="1"/>
  <c r="O71" i="1"/>
  <c r="N71" i="1"/>
  <c r="M71" i="1"/>
  <c r="L71" i="1"/>
  <c r="K71" i="1"/>
  <c r="J71" i="1"/>
  <c r="I71" i="1"/>
  <c r="H71" i="1"/>
  <c r="G71" i="1"/>
  <c r="F71" i="1"/>
  <c r="E71" i="1"/>
  <c r="S70" i="1"/>
  <c r="R70" i="1"/>
  <c r="Q70" i="1"/>
  <c r="P70" i="1"/>
  <c r="O70" i="1"/>
  <c r="N70" i="1"/>
  <c r="M70" i="1"/>
  <c r="L70" i="1"/>
  <c r="K70" i="1"/>
  <c r="J70" i="1"/>
  <c r="I70" i="1"/>
  <c r="H70" i="1"/>
  <c r="G70" i="1"/>
  <c r="F70" i="1"/>
  <c r="E70" i="1"/>
  <c r="S69" i="1"/>
  <c r="R69" i="1"/>
  <c r="Q69" i="1"/>
  <c r="P69" i="1"/>
  <c r="O69" i="1"/>
  <c r="N69" i="1"/>
  <c r="M69" i="1"/>
  <c r="L69" i="1"/>
  <c r="K69" i="1"/>
  <c r="J69" i="1"/>
  <c r="I69" i="1"/>
  <c r="H69" i="1"/>
  <c r="G69" i="1"/>
  <c r="F69" i="1"/>
  <c r="E69" i="1"/>
  <c r="S68" i="1"/>
  <c r="R68" i="1"/>
  <c r="Q68" i="1"/>
  <c r="P68" i="1"/>
  <c r="O68" i="1"/>
  <c r="N68" i="1"/>
  <c r="M68" i="1"/>
  <c r="L68" i="1"/>
  <c r="K68" i="1"/>
  <c r="J68" i="1"/>
  <c r="I68" i="1"/>
  <c r="H68" i="1"/>
  <c r="G68" i="1"/>
  <c r="F68" i="1"/>
  <c r="E68" i="1"/>
  <c r="S67" i="1"/>
  <c r="R67" i="1"/>
  <c r="Q67" i="1"/>
  <c r="P67" i="1"/>
  <c r="O67" i="1"/>
  <c r="N67" i="1"/>
  <c r="M67" i="1"/>
  <c r="L67" i="1"/>
  <c r="K67" i="1"/>
  <c r="J67" i="1"/>
  <c r="I67" i="1"/>
  <c r="H67" i="1"/>
  <c r="G67" i="1"/>
  <c r="F67" i="1"/>
  <c r="E67" i="1"/>
  <c r="S66" i="1"/>
  <c r="R66" i="1"/>
  <c r="Q66" i="1"/>
  <c r="P66" i="1"/>
  <c r="O66" i="1"/>
  <c r="N66" i="1"/>
  <c r="M66" i="1"/>
  <c r="L66" i="1"/>
  <c r="K66" i="1"/>
  <c r="J66" i="1"/>
  <c r="I66" i="1"/>
  <c r="H66" i="1"/>
  <c r="G66" i="1"/>
  <c r="F66" i="1"/>
  <c r="E66" i="1"/>
  <c r="S65" i="1"/>
  <c r="R65" i="1"/>
  <c r="Q65" i="1"/>
  <c r="P65" i="1"/>
  <c r="O65" i="1"/>
  <c r="N65" i="1"/>
  <c r="M65" i="1"/>
  <c r="L65" i="1"/>
  <c r="K65" i="1"/>
  <c r="J65" i="1"/>
  <c r="I65" i="1"/>
  <c r="H65" i="1"/>
  <c r="G65" i="1"/>
  <c r="F65" i="1"/>
  <c r="E65" i="1"/>
  <c r="S64" i="1"/>
  <c r="R64" i="1"/>
  <c r="Q64" i="1"/>
  <c r="P64" i="1"/>
  <c r="O64" i="1"/>
  <c r="N64" i="1"/>
  <c r="M64" i="1"/>
  <c r="L64" i="1"/>
  <c r="K64" i="1"/>
  <c r="J64" i="1"/>
  <c r="I64" i="1"/>
  <c r="H64" i="1"/>
  <c r="G64" i="1"/>
  <c r="F64" i="1"/>
  <c r="E64" i="1"/>
  <c r="S63" i="1"/>
  <c r="R63" i="1"/>
  <c r="Q63" i="1"/>
  <c r="P63" i="1"/>
  <c r="O63" i="1"/>
  <c r="N63" i="1"/>
  <c r="M63" i="1"/>
  <c r="L63" i="1"/>
  <c r="K63" i="1"/>
  <c r="J63" i="1"/>
  <c r="I63" i="1"/>
  <c r="H63" i="1"/>
  <c r="G63" i="1"/>
  <c r="F63" i="1"/>
  <c r="E63" i="1"/>
  <c r="S62" i="1"/>
  <c r="R62" i="1"/>
  <c r="Q62" i="1"/>
  <c r="P62" i="1"/>
  <c r="O62" i="1"/>
  <c r="N62" i="1"/>
  <c r="M62" i="1"/>
  <c r="L62" i="1"/>
  <c r="K62" i="1"/>
  <c r="J62" i="1"/>
  <c r="I62" i="1"/>
  <c r="H62" i="1"/>
  <c r="G62" i="1"/>
  <c r="F62" i="1"/>
  <c r="E62" i="1"/>
  <c r="S61" i="1"/>
  <c r="R61" i="1"/>
  <c r="Q61" i="1"/>
  <c r="P61" i="1"/>
  <c r="O61" i="1"/>
  <c r="N61" i="1"/>
  <c r="M61" i="1"/>
  <c r="L61" i="1"/>
  <c r="K61" i="1"/>
  <c r="J61" i="1"/>
  <c r="I61" i="1"/>
  <c r="H61" i="1"/>
  <c r="G61" i="1"/>
  <c r="F61" i="1"/>
  <c r="E61" i="1"/>
  <c r="S60" i="1"/>
  <c r="R60" i="1"/>
  <c r="Q60" i="1"/>
  <c r="P60" i="1"/>
  <c r="O60" i="1"/>
  <c r="N60" i="1"/>
  <c r="M60" i="1"/>
  <c r="L60" i="1"/>
  <c r="K60" i="1"/>
  <c r="J60" i="1"/>
  <c r="I60" i="1"/>
  <c r="H60" i="1"/>
  <c r="G60" i="1"/>
  <c r="F60" i="1"/>
  <c r="E60" i="1"/>
  <c r="S59" i="1"/>
  <c r="R59" i="1"/>
  <c r="Q59" i="1"/>
  <c r="P59" i="1"/>
  <c r="O59" i="1"/>
  <c r="N59" i="1"/>
  <c r="M59" i="1"/>
  <c r="L59" i="1"/>
  <c r="K59" i="1"/>
  <c r="J59" i="1"/>
  <c r="I59" i="1"/>
  <c r="H59" i="1"/>
  <c r="G59" i="1"/>
  <c r="F59" i="1"/>
  <c r="E59" i="1"/>
  <c r="S58" i="1"/>
  <c r="R58" i="1"/>
  <c r="Q58" i="1"/>
  <c r="P58" i="1"/>
  <c r="O58" i="1"/>
  <c r="N58" i="1"/>
  <c r="M58" i="1"/>
  <c r="L58" i="1"/>
  <c r="K58" i="1"/>
  <c r="J58" i="1"/>
  <c r="I58" i="1"/>
  <c r="H58" i="1"/>
  <c r="G58" i="1"/>
  <c r="F58" i="1"/>
  <c r="E58" i="1"/>
  <c r="S57" i="1"/>
  <c r="R57" i="1"/>
  <c r="Q57" i="1"/>
  <c r="P57" i="1"/>
  <c r="O57" i="1"/>
  <c r="N57" i="1"/>
  <c r="M57" i="1"/>
  <c r="L57" i="1"/>
  <c r="K57" i="1"/>
  <c r="J57" i="1"/>
  <c r="I57" i="1"/>
  <c r="H57" i="1"/>
  <c r="G57" i="1"/>
  <c r="F57" i="1"/>
  <c r="E57" i="1"/>
  <c r="S56" i="1"/>
  <c r="R56" i="1"/>
  <c r="Q56" i="1"/>
  <c r="P56" i="1"/>
  <c r="O56" i="1"/>
  <c r="N56" i="1"/>
  <c r="M56" i="1"/>
  <c r="L56" i="1"/>
  <c r="K56" i="1"/>
  <c r="J56" i="1"/>
  <c r="I56" i="1"/>
  <c r="H56" i="1"/>
  <c r="G56" i="1"/>
  <c r="F56" i="1"/>
  <c r="E56" i="1"/>
  <c r="S55" i="1"/>
  <c r="R55" i="1"/>
  <c r="Q55" i="1"/>
  <c r="P55" i="1"/>
  <c r="O55" i="1"/>
  <c r="N55" i="1"/>
  <c r="M55" i="1"/>
  <c r="L55" i="1"/>
  <c r="K55" i="1"/>
  <c r="J55" i="1"/>
  <c r="I55" i="1"/>
  <c r="H55" i="1"/>
  <c r="G55" i="1"/>
  <c r="F55" i="1"/>
  <c r="E55" i="1"/>
  <c r="S54" i="1"/>
  <c r="R54" i="1"/>
  <c r="Q54" i="1"/>
  <c r="P54" i="1"/>
  <c r="O54" i="1"/>
  <c r="N54" i="1"/>
  <c r="M54" i="1"/>
  <c r="L54" i="1"/>
  <c r="K54" i="1"/>
  <c r="J54" i="1"/>
  <c r="I54" i="1"/>
  <c r="H54" i="1"/>
  <c r="G54" i="1"/>
  <c r="F54" i="1"/>
  <c r="E54" i="1"/>
  <c r="S53" i="1"/>
  <c r="R53" i="1"/>
  <c r="Q53" i="1"/>
  <c r="P53" i="1"/>
  <c r="O53" i="1"/>
  <c r="N53" i="1"/>
  <c r="M53" i="1"/>
  <c r="L53" i="1"/>
  <c r="K53" i="1"/>
  <c r="J53" i="1"/>
  <c r="I53" i="1"/>
  <c r="H53" i="1"/>
  <c r="G53" i="1"/>
  <c r="F53" i="1"/>
  <c r="E53" i="1"/>
  <c r="S52" i="1"/>
  <c r="R52" i="1"/>
  <c r="Q52" i="1"/>
  <c r="P52" i="1"/>
  <c r="O52" i="1"/>
  <c r="N52" i="1"/>
  <c r="M52" i="1"/>
  <c r="L52" i="1"/>
  <c r="K52" i="1"/>
  <c r="J52" i="1"/>
  <c r="I52" i="1"/>
  <c r="H52" i="1"/>
  <c r="G52" i="1"/>
  <c r="F52" i="1"/>
  <c r="E52" i="1"/>
  <c r="S51" i="1"/>
  <c r="R51" i="1"/>
  <c r="Q51" i="1"/>
  <c r="P51" i="1"/>
  <c r="O51" i="1"/>
  <c r="N51" i="1"/>
  <c r="M51" i="1"/>
  <c r="L51" i="1"/>
  <c r="K51" i="1"/>
  <c r="J51" i="1"/>
  <c r="I51" i="1"/>
  <c r="H51" i="1"/>
  <c r="G51" i="1"/>
  <c r="F51" i="1"/>
  <c r="E51" i="1"/>
  <c r="S50" i="1"/>
  <c r="R50" i="1"/>
  <c r="Q50" i="1"/>
  <c r="P50" i="1"/>
  <c r="O50" i="1"/>
  <c r="N50" i="1"/>
  <c r="M50" i="1"/>
  <c r="L50" i="1"/>
  <c r="K50" i="1"/>
  <c r="J50" i="1"/>
  <c r="I50" i="1"/>
  <c r="H50" i="1"/>
  <c r="G50" i="1"/>
  <c r="F50" i="1"/>
  <c r="E50" i="1"/>
  <c r="S49" i="1"/>
  <c r="R49" i="1"/>
  <c r="Q49" i="1"/>
  <c r="P49" i="1"/>
  <c r="O49" i="1"/>
  <c r="N49" i="1"/>
  <c r="M49" i="1"/>
  <c r="L49" i="1"/>
  <c r="K49" i="1"/>
  <c r="J49" i="1"/>
  <c r="I49" i="1"/>
  <c r="H49" i="1"/>
  <c r="G49" i="1"/>
  <c r="F49" i="1"/>
  <c r="E49" i="1"/>
  <c r="S48" i="1"/>
  <c r="R48" i="1"/>
  <c r="Q48" i="1"/>
  <c r="P48" i="1"/>
  <c r="O48" i="1"/>
  <c r="N48" i="1"/>
  <c r="M48" i="1"/>
  <c r="L48" i="1"/>
  <c r="K48" i="1"/>
  <c r="J48" i="1"/>
  <c r="I48" i="1"/>
  <c r="H48" i="1"/>
  <c r="G48" i="1"/>
  <c r="F48" i="1"/>
  <c r="E48" i="1"/>
  <c r="S47" i="1"/>
  <c r="R47" i="1"/>
  <c r="Q47" i="1"/>
  <c r="P47" i="1"/>
  <c r="O47" i="1"/>
  <c r="N47" i="1"/>
  <c r="M47" i="1"/>
  <c r="L47" i="1"/>
  <c r="K47" i="1"/>
  <c r="K38" i="1"/>
  <c r="J47" i="1"/>
  <c r="I47" i="1"/>
  <c r="H47" i="1"/>
  <c r="G47" i="1"/>
  <c r="F47" i="1"/>
  <c r="E47" i="1"/>
  <c r="S46" i="1"/>
  <c r="R46" i="1"/>
  <c r="Q46" i="1"/>
  <c r="P46" i="1"/>
  <c r="O46" i="1"/>
  <c r="N46" i="1"/>
  <c r="M46" i="1"/>
  <c r="L46" i="1"/>
  <c r="K46" i="1"/>
  <c r="J46" i="1"/>
  <c r="I46" i="1"/>
  <c r="H46" i="1"/>
  <c r="G46" i="1"/>
  <c r="G39" i="1"/>
  <c r="F46" i="1"/>
  <c r="F38" i="1"/>
  <c r="E46" i="1"/>
  <c r="E39" i="1"/>
  <c r="S45" i="1"/>
  <c r="R45" i="1"/>
  <c r="Q45" i="1"/>
  <c r="P45" i="1"/>
  <c r="O45" i="1"/>
  <c r="N45" i="1"/>
  <c r="M45" i="1"/>
  <c r="L45" i="1"/>
  <c r="K45" i="1"/>
  <c r="J45" i="1"/>
  <c r="I45" i="1"/>
  <c r="H45" i="1"/>
  <c r="G45" i="1"/>
  <c r="F45" i="1"/>
  <c r="E45" i="1"/>
  <c r="D39" i="1"/>
  <c r="D38" i="1"/>
  <c r="S5" i="1"/>
  <c r="R5" i="1"/>
  <c r="Q5" i="1"/>
  <c r="P5" i="1"/>
  <c r="O5" i="1"/>
  <c r="N5" i="1"/>
  <c r="M5" i="1"/>
  <c r="L5" i="1"/>
  <c r="K5" i="1"/>
  <c r="J5" i="1"/>
  <c r="I5" i="1"/>
  <c r="H5" i="1"/>
  <c r="G5" i="1"/>
  <c r="F5" i="1"/>
  <c r="S4" i="1"/>
  <c r="R4" i="1"/>
  <c r="Q4" i="1"/>
  <c r="P4" i="1"/>
  <c r="O4" i="1"/>
  <c r="N4" i="1"/>
  <c r="M4" i="1"/>
  <c r="L4" i="1"/>
  <c r="K4" i="1"/>
  <c r="J4" i="1"/>
  <c r="I4" i="1"/>
  <c r="H4" i="1"/>
  <c r="G4" i="1"/>
  <c r="F4" i="1"/>
  <c r="E5" i="1"/>
  <c r="E4" i="1"/>
  <c r="C3" i="8"/>
  <c r="C4" i="8"/>
  <c r="C5" i="8" s="1"/>
  <c r="C6" i="8" s="1"/>
  <c r="C7" i="8" s="1"/>
  <c r="C8" i="8" s="1"/>
  <c r="C9" i="8" s="1"/>
  <c r="C10" i="8" s="1"/>
  <c r="C11" i="8" s="1"/>
  <c r="C12" i="8" s="1"/>
  <c r="C13" i="8" s="1"/>
  <c r="C14" i="8" s="1"/>
  <c r="C15" i="8" s="1"/>
  <c r="C16" i="8" s="1"/>
  <c r="C17" i="8" s="1"/>
  <c r="C18" i="8" s="1"/>
  <c r="C19" i="8" s="1"/>
  <c r="C20" i="8" s="1"/>
  <c r="C21" i="8" s="1"/>
  <c r="F37" i="1"/>
  <c r="E38" i="1"/>
  <c r="G38" i="1"/>
  <c r="F39" i="1"/>
  <c r="E37" i="1"/>
  <c r="G37" i="1"/>
  <c r="K37" i="1"/>
  <c r="K3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Nathaniel Thornburg</author>
  </authors>
  <commentList>
    <comment ref="A2" authorId="0" shapeId="0" xr:uid="{00000000-0006-0000-0000-000001000000}">
      <text>
        <r>
          <rPr>
            <sz val="8"/>
            <color indexed="81"/>
            <rFont val="Tahoma"/>
            <family val="2"/>
          </rPr>
          <t>The appropriate PPI number may be found in Attachment A of your most recently issued permit.</t>
        </r>
      </text>
    </comment>
    <comment ref="E3" authorId="0" shapeId="0" xr:uid="{00000000-0006-0000-0000-000002000000}">
      <text>
        <r>
          <rPr>
            <sz val="8"/>
            <color indexed="81"/>
            <rFont val="Tahoma"/>
            <family val="2"/>
          </rPr>
          <t>Input the PCS Code located in Attachment A of your permit.</t>
        </r>
      </text>
    </comment>
    <comment ref="F3" authorId="0" shapeId="0" xr:uid="{00000000-0006-0000-0000-000003000000}">
      <text>
        <r>
          <rPr>
            <sz val="8"/>
            <color indexed="81"/>
            <rFont val="Tahoma"/>
            <family val="2"/>
          </rPr>
          <t>Input the PCS Code located in Attachment A of your permit.</t>
        </r>
      </text>
    </comment>
    <comment ref="G3" authorId="0" shapeId="0" xr:uid="{00000000-0006-0000-0000-000004000000}">
      <text>
        <r>
          <rPr>
            <sz val="8"/>
            <color indexed="81"/>
            <rFont val="Tahoma"/>
            <family val="2"/>
          </rPr>
          <t>Input the PCS Code located in Attachment A of your permit.</t>
        </r>
      </text>
    </comment>
    <comment ref="H3" authorId="0" shapeId="0" xr:uid="{00000000-0006-0000-0000-000005000000}">
      <text>
        <r>
          <rPr>
            <sz val="8"/>
            <color indexed="81"/>
            <rFont val="Tahoma"/>
            <family val="2"/>
          </rPr>
          <t>Input the PCS Code located in Attachment A of your permit.</t>
        </r>
      </text>
    </comment>
    <comment ref="I3" authorId="0" shapeId="0" xr:uid="{00000000-0006-0000-0000-000006000000}">
      <text>
        <r>
          <rPr>
            <sz val="8"/>
            <color indexed="81"/>
            <rFont val="Tahoma"/>
            <family val="2"/>
          </rPr>
          <t>Input the PCS Code located in Attachment A of your permit.</t>
        </r>
      </text>
    </comment>
    <comment ref="J3" authorId="0" shapeId="0" xr:uid="{00000000-0006-0000-0000-000007000000}">
      <text>
        <r>
          <rPr>
            <sz val="8"/>
            <color indexed="81"/>
            <rFont val="Tahoma"/>
            <family val="2"/>
          </rPr>
          <t>Input the PCS Code located in Attachment A of your permit.</t>
        </r>
      </text>
    </comment>
    <comment ref="K3" authorId="0" shapeId="0" xr:uid="{00000000-0006-0000-0000-000008000000}">
      <text>
        <r>
          <rPr>
            <sz val="8"/>
            <color indexed="81"/>
            <rFont val="Tahoma"/>
            <family val="2"/>
          </rPr>
          <t>Input the PCS Code located in Attachment A of your permit.</t>
        </r>
      </text>
    </comment>
    <comment ref="L3" authorId="0" shapeId="0" xr:uid="{00000000-0006-0000-0000-000009000000}">
      <text>
        <r>
          <rPr>
            <sz val="8"/>
            <color indexed="81"/>
            <rFont val="Tahoma"/>
            <family val="2"/>
          </rPr>
          <t>Input the PCS Code located in Attachment A of your permit.</t>
        </r>
      </text>
    </comment>
    <comment ref="M3" authorId="0" shapeId="0" xr:uid="{00000000-0006-0000-0000-00000A000000}">
      <text>
        <r>
          <rPr>
            <sz val="8"/>
            <color indexed="81"/>
            <rFont val="Tahoma"/>
            <family val="2"/>
          </rPr>
          <t>Input the PCS Code located in Attachment A of your permit.</t>
        </r>
      </text>
    </comment>
    <comment ref="N3" authorId="0" shapeId="0" xr:uid="{00000000-0006-0000-0000-00000B000000}">
      <text>
        <r>
          <rPr>
            <sz val="8"/>
            <color indexed="81"/>
            <rFont val="Tahoma"/>
            <family val="2"/>
          </rPr>
          <t>Input the PCS Code located in Attachment A of your permit.</t>
        </r>
      </text>
    </comment>
    <comment ref="O3" authorId="0" shapeId="0" xr:uid="{00000000-0006-0000-0000-00000C000000}">
      <text>
        <r>
          <rPr>
            <sz val="8"/>
            <color indexed="81"/>
            <rFont val="Tahoma"/>
            <family val="2"/>
          </rPr>
          <t>Input the PCS Code located in Attachment A of your permit.</t>
        </r>
      </text>
    </comment>
    <comment ref="P3" authorId="0" shapeId="0" xr:uid="{00000000-0006-0000-0000-00000D000000}">
      <text>
        <r>
          <rPr>
            <sz val="8"/>
            <color indexed="81"/>
            <rFont val="Tahoma"/>
            <family val="2"/>
          </rPr>
          <t>Input the PCS Code located in Attachment A of your permit.</t>
        </r>
      </text>
    </comment>
    <comment ref="Q3" authorId="0" shapeId="0" xr:uid="{00000000-0006-0000-0000-00000E000000}">
      <text>
        <r>
          <rPr>
            <sz val="8"/>
            <color indexed="81"/>
            <rFont val="Tahoma"/>
            <family val="2"/>
          </rPr>
          <t>Input the PCS Code located in Attachment A of your permit.</t>
        </r>
      </text>
    </comment>
    <comment ref="R3" authorId="0" shapeId="0" xr:uid="{00000000-0006-0000-0000-00000F000000}">
      <text>
        <r>
          <rPr>
            <sz val="8"/>
            <color indexed="81"/>
            <rFont val="Tahoma"/>
            <family val="2"/>
          </rPr>
          <t>Input the PCS Code located in Attachment A of your permit.</t>
        </r>
      </text>
    </comment>
    <comment ref="S3" authorId="0" shapeId="0" xr:uid="{00000000-0006-0000-0000-000010000000}">
      <text>
        <r>
          <rPr>
            <sz val="8"/>
            <color indexed="81"/>
            <rFont val="Tahoma"/>
            <family val="2"/>
          </rPr>
          <t>Input the PCS Code located in Attachment A of your permit.</t>
        </r>
      </text>
    </comment>
    <comment ref="B4" authorId="0" shapeId="0" xr:uid="{00000000-0006-0000-0000-000011000000}">
      <text>
        <r>
          <rPr>
            <sz val="8"/>
            <color indexed="81"/>
            <rFont val="Tahoma"/>
            <family val="2"/>
          </rPr>
          <t>Use 24-hour clock</t>
        </r>
      </text>
    </comment>
    <comment ref="C4" authorId="0" shapeId="0" xr:uid="{00000000-0006-0000-0000-000012000000}">
      <text>
        <r>
          <rPr>
            <sz val="8"/>
            <color indexed="81"/>
            <rFont val="Tahoma"/>
            <family val="2"/>
          </rPr>
          <t>Use decimal hours.</t>
        </r>
      </text>
    </comment>
    <comment ref="E5" authorId="0" shapeId="0" xr:uid="{00000000-0006-0000-0000-000013000000}">
      <text>
        <r>
          <rPr>
            <sz val="8"/>
            <color indexed="81"/>
            <rFont val="Tahoma"/>
            <family val="2"/>
          </rPr>
          <t>If the DWQ accepted units do not match your Attachment A, email nathaniel.thornburg@ncdenr.gov for assistance.</t>
        </r>
      </text>
    </comment>
    <comment ref="F5" authorId="0" shapeId="0" xr:uid="{00000000-0006-0000-0000-000014000000}">
      <text>
        <r>
          <rPr>
            <sz val="8"/>
            <color indexed="81"/>
            <rFont val="Tahoma"/>
            <family val="2"/>
          </rPr>
          <t>If the DWQ accepted units do not match your Attachment A, email nathaniel.thornburg@ncdenr.gov for assistance.</t>
        </r>
      </text>
    </comment>
    <comment ref="G5" authorId="0" shapeId="0" xr:uid="{00000000-0006-0000-0000-000015000000}">
      <text>
        <r>
          <rPr>
            <sz val="8"/>
            <color indexed="81"/>
            <rFont val="Tahoma"/>
            <family val="2"/>
          </rPr>
          <t>If the DWQ accepted units do not match your Attachment A, email nathaniel.thornburg@ncdenr.gov for assistance.</t>
        </r>
      </text>
    </comment>
    <comment ref="H5" authorId="0" shapeId="0" xr:uid="{00000000-0006-0000-0000-000016000000}">
      <text>
        <r>
          <rPr>
            <sz val="8"/>
            <color indexed="81"/>
            <rFont val="Tahoma"/>
            <family val="2"/>
          </rPr>
          <t>If the DWQ accepted units do not match your Attachment A, email nathaniel.thornburg@ncdenr.gov for assistance.</t>
        </r>
      </text>
    </comment>
    <comment ref="I5" authorId="0" shapeId="0" xr:uid="{00000000-0006-0000-0000-000017000000}">
      <text>
        <r>
          <rPr>
            <sz val="8"/>
            <color indexed="81"/>
            <rFont val="Tahoma"/>
            <family val="2"/>
          </rPr>
          <t>If the DWQ accepted units do not match your Attachment A, email nathaniel.thornburg@ncdenr.gov for assistance.</t>
        </r>
      </text>
    </comment>
    <comment ref="J5" authorId="0" shapeId="0" xr:uid="{00000000-0006-0000-0000-000018000000}">
      <text>
        <r>
          <rPr>
            <sz val="8"/>
            <color indexed="81"/>
            <rFont val="Tahoma"/>
            <family val="2"/>
          </rPr>
          <t>If the DWQ accepted units do not match your Attachment A, email nathaniel.thornburg@ncdenr.gov for assistance.</t>
        </r>
      </text>
    </comment>
    <comment ref="K5" authorId="0" shapeId="0" xr:uid="{00000000-0006-0000-0000-000019000000}">
      <text>
        <r>
          <rPr>
            <sz val="8"/>
            <color indexed="81"/>
            <rFont val="Tahoma"/>
            <family val="2"/>
          </rPr>
          <t>If the DWQ accepted units do not match your Attachment A, email nathaniel.thornburg@ncdenr.gov for assistance.</t>
        </r>
      </text>
    </comment>
    <comment ref="L5" authorId="0" shapeId="0" xr:uid="{00000000-0006-0000-0000-00001A000000}">
      <text>
        <r>
          <rPr>
            <sz val="8"/>
            <color indexed="81"/>
            <rFont val="Tahoma"/>
            <family val="2"/>
          </rPr>
          <t>If the DWQ accepted units do not match your Attachment A, email nathaniel.thornburg@ncdenr.gov for assistance.</t>
        </r>
      </text>
    </comment>
    <comment ref="M5" authorId="0" shapeId="0" xr:uid="{00000000-0006-0000-0000-00001B000000}">
      <text>
        <r>
          <rPr>
            <sz val="8"/>
            <color indexed="81"/>
            <rFont val="Tahoma"/>
            <family val="2"/>
          </rPr>
          <t>If the DWQ accepted units do not match your Attachment A, email nathaniel.thornburg@ncdenr.gov for assistance.</t>
        </r>
      </text>
    </comment>
    <comment ref="N5" authorId="0" shapeId="0" xr:uid="{00000000-0006-0000-0000-00001C000000}">
      <text>
        <r>
          <rPr>
            <sz val="8"/>
            <color indexed="81"/>
            <rFont val="Tahoma"/>
            <family val="2"/>
          </rPr>
          <t>If the DWQ accepted units do not match your Attachment A, email nathaniel.thornburg@ncdenr.gov for assistance.</t>
        </r>
      </text>
    </comment>
    <comment ref="O5" authorId="0" shapeId="0" xr:uid="{00000000-0006-0000-0000-00001D000000}">
      <text>
        <r>
          <rPr>
            <sz val="8"/>
            <color indexed="81"/>
            <rFont val="Tahoma"/>
            <family val="2"/>
          </rPr>
          <t>If the DWQ accepted units do not match your Attachment A, email nathaniel.thornburg@ncdenr.gov for assistance.</t>
        </r>
      </text>
    </comment>
    <comment ref="P5" authorId="0" shapeId="0" xr:uid="{00000000-0006-0000-0000-00001E000000}">
      <text>
        <r>
          <rPr>
            <sz val="8"/>
            <color indexed="81"/>
            <rFont val="Tahoma"/>
            <family val="2"/>
          </rPr>
          <t>If the DWQ accepted units do not match your Attachment A, email nathaniel.thornburg@ncdenr.gov for assistance.</t>
        </r>
      </text>
    </comment>
    <comment ref="Q5" authorId="0" shapeId="0" xr:uid="{00000000-0006-0000-0000-00001F000000}">
      <text>
        <r>
          <rPr>
            <sz val="8"/>
            <color indexed="81"/>
            <rFont val="Tahoma"/>
            <family val="2"/>
          </rPr>
          <t>If the DWQ accepted units do not match your Attachment A, email nathaniel.thornburg@ncdenr.gov for assistance.</t>
        </r>
      </text>
    </comment>
    <comment ref="R5" authorId="0" shapeId="0" xr:uid="{00000000-0006-0000-0000-000020000000}">
      <text>
        <r>
          <rPr>
            <sz val="8"/>
            <color indexed="81"/>
            <rFont val="Tahoma"/>
            <family val="2"/>
          </rPr>
          <t>If the DWQ accepted units do not match your Attachment A, email nathaniel.thornburg@ncdenr.gov for assistance.</t>
        </r>
      </text>
    </comment>
    <comment ref="S5" authorId="0" shapeId="0" xr:uid="{00000000-0006-0000-0000-000021000000}">
      <text>
        <r>
          <rPr>
            <sz val="8"/>
            <color indexed="81"/>
            <rFont val="Tahoma"/>
            <family val="2"/>
          </rPr>
          <t>If the DWQ accepted units do not match your Attachment A, email nathaniel.thornburg@ncdenr.gov for assistance.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Nathaniel Thornburg</author>
  </authors>
  <commentList>
    <comment ref="D1" authorId="0" shapeId="0" xr:uid="{00000000-0006-0000-0200-000001000000}">
      <text>
        <r>
          <rPr>
            <sz val="8"/>
            <color indexed="81"/>
            <rFont val="Tahoma"/>
            <family val="2"/>
          </rPr>
          <t>If accepted units do not match your Attachment A, email nathaniel.thornburg@ncdenr.gov for assistance.</t>
        </r>
      </text>
    </comment>
  </commentList>
</comments>
</file>

<file path=xl/sharedStrings.xml><?xml version="1.0" encoding="utf-8"?>
<sst xmlns="http://schemas.openxmlformats.org/spreadsheetml/2006/main" count="474" uniqueCount="395">
  <si>
    <t>pH</t>
  </si>
  <si>
    <t>1617 Mail Service Center</t>
  </si>
  <si>
    <t>Date</t>
  </si>
  <si>
    <t>01002</t>
  </si>
  <si>
    <t>Arsenic</t>
  </si>
  <si>
    <t>31504</t>
  </si>
  <si>
    <t>01067</t>
  </si>
  <si>
    <t>Nickel</t>
  </si>
  <si>
    <t>00929</t>
  </si>
  <si>
    <t>Sodium</t>
  </si>
  <si>
    <t>01022</t>
  </si>
  <si>
    <t>Boron</t>
  </si>
  <si>
    <t>00094</t>
  </si>
  <si>
    <t>Conductivity</t>
  </si>
  <si>
    <t>00600</t>
  </si>
  <si>
    <t>00931</t>
  </si>
  <si>
    <t>00310</t>
  </si>
  <si>
    <t>01042</t>
  </si>
  <si>
    <t>Copper</t>
  </si>
  <si>
    <t>00630</t>
  </si>
  <si>
    <t>01027</t>
  </si>
  <si>
    <t>Cadmium</t>
  </si>
  <si>
    <t>00300</t>
  </si>
  <si>
    <t>Dissolved Oxygen</t>
  </si>
  <si>
    <t>00620</t>
  </si>
  <si>
    <t>00916</t>
  </si>
  <si>
    <t>Calcium</t>
  </si>
  <si>
    <t>31616</t>
  </si>
  <si>
    <t>00556</t>
  </si>
  <si>
    <t>00010</t>
  </si>
  <si>
    <t>00940</t>
  </si>
  <si>
    <t>01051</t>
  </si>
  <si>
    <t>Lead</t>
  </si>
  <si>
    <t>00400</t>
  </si>
  <si>
    <t>00625</t>
  </si>
  <si>
    <t>50060</t>
  </si>
  <si>
    <t>Chlorine, Total Residual</t>
  </si>
  <si>
    <t>00927</t>
  </si>
  <si>
    <t>Magnesium</t>
  </si>
  <si>
    <t>32730</t>
  </si>
  <si>
    <t>Phenols</t>
  </si>
  <si>
    <t>00680</t>
  </si>
  <si>
    <t>71900</t>
  </si>
  <si>
    <t>Mercury</t>
  </si>
  <si>
    <t>00665</t>
  </si>
  <si>
    <t>00530</t>
  </si>
  <si>
    <t>01034</t>
  </si>
  <si>
    <t>Chromium</t>
  </si>
  <si>
    <t>00610</t>
  </si>
  <si>
    <t>00937</t>
  </si>
  <si>
    <t>Potassium</t>
  </si>
  <si>
    <t>01092</t>
  </si>
  <si>
    <t>Zinc</t>
  </si>
  <si>
    <t>00340</t>
  </si>
  <si>
    <t>COD</t>
  </si>
  <si>
    <t>00076</t>
  </si>
  <si>
    <t>Turbidity</t>
  </si>
  <si>
    <t>Temperature</t>
  </si>
  <si>
    <t>00545</t>
  </si>
  <si>
    <t xml:space="preserve">Parameter Code </t>
  </si>
  <si>
    <t>Facility Name:</t>
  </si>
  <si>
    <t>Month:</t>
  </si>
  <si>
    <t>Year:</t>
  </si>
  <si>
    <t>County:</t>
  </si>
  <si>
    <t>hrs</t>
  </si>
  <si>
    <t>PPI:</t>
  </si>
  <si>
    <t>Information Processing Unit</t>
  </si>
  <si>
    <t>Day</t>
  </si>
  <si>
    <t>24-hr</t>
  </si>
  <si>
    <t>Average:</t>
  </si>
  <si>
    <t>Daily Maximum:</t>
  </si>
  <si>
    <t>Daily Minimum:</t>
  </si>
  <si>
    <r>
      <t>BOD</t>
    </r>
    <r>
      <rPr>
        <vertAlign val="subscript"/>
        <sz val="8"/>
        <rFont val="Trebuchet MS"/>
        <family val="2"/>
      </rPr>
      <t>5</t>
    </r>
  </si>
  <si>
    <t>Operator in Responsible Charge (ORC) Certification</t>
  </si>
  <si>
    <t>Permittee Certification</t>
  </si>
  <si>
    <t>Name:</t>
  </si>
  <si>
    <t>Phone Number:</t>
  </si>
  <si>
    <t>Signature</t>
  </si>
  <si>
    <t>By this signature, I certify that this report is accurrate and complete to the best of my knowledge.</t>
  </si>
  <si>
    <t>I certify, under penalty of law, that this document and all attachments were prepared under my direction or supervision in accordance with a system designed to assure that all qualified personnel properly gathered and evaluated the information submitted. Based on my inquiry of the person or persons who manage the system, or those persons directly responsible for gathering the information, the information submitted is, to the best of my knowledge and belief, true, accurate, and complete. I am aware that there are significant penalties for submitting false information, including the possibility of fines and imprisonment for knowing violations.</t>
  </si>
  <si>
    <t>Sampling Person(s)</t>
  </si>
  <si>
    <t>Certified Laboratories</t>
  </si>
  <si>
    <t>Raleigh, North Carolina 27699-1617</t>
  </si>
  <si>
    <t>Mail Original and Two Copies to:</t>
  </si>
  <si>
    <t>Does all monitoring data and sampling frequencies meet the requirements in Attachment A of your permit?</t>
  </si>
  <si>
    <t xml:space="preserve">Alamance  </t>
  </si>
  <si>
    <t xml:space="preserve">Alexander  </t>
  </si>
  <si>
    <t xml:space="preserve">Alleghany  </t>
  </si>
  <si>
    <t xml:space="preserve">Anson  </t>
  </si>
  <si>
    <t xml:space="preserve">Ashe  </t>
  </si>
  <si>
    <t xml:space="preserve">Avery  </t>
  </si>
  <si>
    <t xml:space="preserve">Beaufort  </t>
  </si>
  <si>
    <t xml:space="preserve">Bertie  </t>
  </si>
  <si>
    <t xml:space="preserve">Bladen  </t>
  </si>
  <si>
    <t xml:space="preserve">Brunswick  </t>
  </si>
  <si>
    <t xml:space="preserve">Buncombe  </t>
  </si>
  <si>
    <t xml:space="preserve">Burke  </t>
  </si>
  <si>
    <t xml:space="preserve">Cabarrus  </t>
  </si>
  <si>
    <t xml:space="preserve">Caldwell  </t>
  </si>
  <si>
    <t xml:space="preserve">Camden  </t>
  </si>
  <si>
    <t xml:space="preserve">Carteret  </t>
  </si>
  <si>
    <t xml:space="preserve">Caswell  </t>
  </si>
  <si>
    <t xml:space="preserve">Catawba  </t>
  </si>
  <si>
    <t xml:space="preserve">Chatham  </t>
  </si>
  <si>
    <t xml:space="preserve">Cherokee  </t>
  </si>
  <si>
    <t xml:space="preserve">Chowan  </t>
  </si>
  <si>
    <t xml:space="preserve">Clay  </t>
  </si>
  <si>
    <t xml:space="preserve">Cleveland  </t>
  </si>
  <si>
    <t xml:space="preserve">Columbus  </t>
  </si>
  <si>
    <t xml:space="preserve">Craven  </t>
  </si>
  <si>
    <t xml:space="preserve">Cumberland  </t>
  </si>
  <si>
    <t xml:space="preserve">Currituck  </t>
  </si>
  <si>
    <t xml:space="preserve">Dare  </t>
  </si>
  <si>
    <t xml:space="preserve">Davidson  </t>
  </si>
  <si>
    <t xml:space="preserve">Davie  </t>
  </si>
  <si>
    <t xml:space="preserve">Duplin  </t>
  </si>
  <si>
    <t xml:space="preserve">Durham  </t>
  </si>
  <si>
    <t xml:space="preserve">Edgecombe  </t>
  </si>
  <si>
    <t xml:space="preserve">Forsyth  </t>
  </si>
  <si>
    <t xml:space="preserve">Franklin  </t>
  </si>
  <si>
    <t xml:space="preserve">Gaston  </t>
  </si>
  <si>
    <t xml:space="preserve">Gates  </t>
  </si>
  <si>
    <t xml:space="preserve">Graham  </t>
  </si>
  <si>
    <t xml:space="preserve">Granville  </t>
  </si>
  <si>
    <t xml:space="preserve">Greene  </t>
  </si>
  <si>
    <t xml:space="preserve">Guilford  </t>
  </si>
  <si>
    <t xml:space="preserve">Halifax  </t>
  </si>
  <si>
    <t xml:space="preserve">Harnett  </t>
  </si>
  <si>
    <t xml:space="preserve">Haywood  </t>
  </si>
  <si>
    <t xml:space="preserve">Henderson  </t>
  </si>
  <si>
    <t xml:space="preserve">Hertford  </t>
  </si>
  <si>
    <t xml:space="preserve">Hoke  </t>
  </si>
  <si>
    <t xml:space="preserve">Hyde  </t>
  </si>
  <si>
    <t xml:space="preserve">Iredell  </t>
  </si>
  <si>
    <t xml:space="preserve">Jackson  </t>
  </si>
  <si>
    <t xml:space="preserve">Johnston  </t>
  </si>
  <si>
    <t xml:space="preserve">Jones  </t>
  </si>
  <si>
    <t xml:space="preserve">Lee  </t>
  </si>
  <si>
    <t xml:space="preserve">Lenoir  </t>
  </si>
  <si>
    <t xml:space="preserve">Lincoln  </t>
  </si>
  <si>
    <t xml:space="preserve">Macon  </t>
  </si>
  <si>
    <t xml:space="preserve">Madison  </t>
  </si>
  <si>
    <t xml:space="preserve">Martin  </t>
  </si>
  <si>
    <t xml:space="preserve">McDowell  </t>
  </si>
  <si>
    <t xml:space="preserve">Mecklenburg  </t>
  </si>
  <si>
    <t xml:space="preserve">Mitchell  </t>
  </si>
  <si>
    <t xml:space="preserve">Montgomery  </t>
  </si>
  <si>
    <t xml:space="preserve">Moore  </t>
  </si>
  <si>
    <t xml:space="preserve">Nash  </t>
  </si>
  <si>
    <t xml:space="preserve">New Hanover  </t>
  </si>
  <si>
    <t xml:space="preserve">Northampton  </t>
  </si>
  <si>
    <t xml:space="preserve">Onslow  </t>
  </si>
  <si>
    <t xml:space="preserve">Orange  </t>
  </si>
  <si>
    <t xml:space="preserve">Pamlico  </t>
  </si>
  <si>
    <t xml:space="preserve">Pasquotank  </t>
  </si>
  <si>
    <t xml:space="preserve">Pender  </t>
  </si>
  <si>
    <t xml:space="preserve">Perquimans  </t>
  </si>
  <si>
    <t xml:space="preserve">Person  </t>
  </si>
  <si>
    <t xml:space="preserve">Pitt  </t>
  </si>
  <si>
    <t xml:space="preserve">Polk  </t>
  </si>
  <si>
    <t xml:space="preserve">Randolph  </t>
  </si>
  <si>
    <t xml:space="preserve">Richmond  </t>
  </si>
  <si>
    <t xml:space="preserve">Robeson  </t>
  </si>
  <si>
    <t xml:space="preserve">Rockingham  </t>
  </si>
  <si>
    <t xml:space="preserve">Rowan  </t>
  </si>
  <si>
    <t xml:space="preserve">Rutherford  </t>
  </si>
  <si>
    <t xml:space="preserve">Sampson  </t>
  </si>
  <si>
    <t xml:space="preserve">Scotland  </t>
  </si>
  <si>
    <t xml:space="preserve">Stanly  </t>
  </si>
  <si>
    <t xml:space="preserve">Stokes  </t>
  </si>
  <si>
    <t xml:space="preserve">Surry  </t>
  </si>
  <si>
    <t xml:space="preserve">Swain  </t>
  </si>
  <si>
    <t xml:space="preserve">Transylvania  </t>
  </si>
  <si>
    <t xml:space="preserve">Tyrrell  </t>
  </si>
  <si>
    <t xml:space="preserve">Union  </t>
  </si>
  <si>
    <t xml:space="preserve">Vance  </t>
  </si>
  <si>
    <t xml:space="preserve">Wake  </t>
  </si>
  <si>
    <t xml:space="preserve">Warren  </t>
  </si>
  <si>
    <t xml:space="preserve">Washington  </t>
  </si>
  <si>
    <t xml:space="preserve">Watauga  </t>
  </si>
  <si>
    <t xml:space="preserve">Wayne  </t>
  </si>
  <si>
    <t xml:space="preserve">Wilkes  </t>
  </si>
  <si>
    <t xml:space="preserve">Wilson  </t>
  </si>
  <si>
    <t xml:space="preserve">Yadkin  </t>
  </si>
  <si>
    <t xml:space="preserve">Yancey  </t>
  </si>
  <si>
    <t>January</t>
  </si>
  <si>
    <t>February</t>
  </si>
  <si>
    <t>March</t>
  </si>
  <si>
    <t>April</t>
  </si>
  <si>
    <t>May</t>
  </si>
  <si>
    <t>June</t>
  </si>
  <si>
    <t>July</t>
  </si>
  <si>
    <t>August</t>
  </si>
  <si>
    <t>September</t>
  </si>
  <si>
    <t>October</t>
  </si>
  <si>
    <t>November</t>
  </si>
  <si>
    <t>December</t>
  </si>
  <si>
    <t>001</t>
  </si>
  <si>
    <t>002</t>
  </si>
  <si>
    <t>003</t>
  </si>
  <si>
    <t>004</t>
  </si>
  <si>
    <t>005</t>
  </si>
  <si>
    <t>006</t>
  </si>
  <si>
    <t>007</t>
  </si>
  <si>
    <t>008</t>
  </si>
  <si>
    <t>009</t>
  </si>
  <si>
    <t>010</t>
  </si>
  <si>
    <t>011</t>
  </si>
  <si>
    <t>012</t>
  </si>
  <si>
    <t>013</t>
  </si>
  <si>
    <t>014</t>
  </si>
  <si>
    <t>015</t>
  </si>
  <si>
    <t>If the facility is non-compliant, please explain in the space below the reason(s) the facility was not in compliance.  Provide in your explanation the date(s) of the non-compliance and describe the corrective action(s) taken. Attach additional sheets if necessary.</t>
  </si>
  <si>
    <t xml:space="preserve"> Permittee:</t>
  </si>
  <si>
    <t xml:space="preserve"> Signing Official:</t>
  </si>
  <si>
    <t xml:space="preserve"> Signing Official's Title:</t>
  </si>
  <si>
    <t xml:space="preserve"> Phone Number:</t>
  </si>
  <si>
    <t xml:space="preserve"> ORC:</t>
  </si>
  <si>
    <t xml:space="preserve"> Certification No.:</t>
  </si>
  <si>
    <t xml:space="preserve"> Grade:</t>
  </si>
  <si>
    <t xml:space="preserve"> Has the ORC changed since the previous NDMR?</t>
  </si>
  <si>
    <t xml:space="preserve"> Permit No.:</t>
  </si>
  <si>
    <t>ºC</t>
  </si>
  <si>
    <t>mg/L</t>
  </si>
  <si>
    <t>#/100 mL</t>
  </si>
  <si>
    <t>Ratio</t>
  </si>
  <si>
    <t>NTU</t>
  </si>
  <si>
    <t>Total Coliform</t>
  </si>
  <si>
    <t>Flow</t>
  </si>
  <si>
    <t>GPD</t>
  </si>
  <si>
    <t>su</t>
  </si>
  <si>
    <t>Selenium</t>
  </si>
  <si>
    <t>01147</t>
  </si>
  <si>
    <t>Silver</t>
  </si>
  <si>
    <t>01077</t>
  </si>
  <si>
    <t>Oil &amp; Grease</t>
  </si>
  <si>
    <t>µΩ</t>
  </si>
  <si>
    <t>mL/L</t>
  </si>
  <si>
    <t>DWQ Accepted Units</t>
  </si>
  <si>
    <t>User Friendly Name</t>
  </si>
  <si>
    <t>Ammonia</t>
  </si>
  <si>
    <t>Nitrate</t>
  </si>
  <si>
    <t>Coliform, Fecal MF, M-FC Broth,44.5C</t>
  </si>
  <si>
    <t>Sodium, Total (as Na)</t>
  </si>
  <si>
    <t>Potassium, Total (as K)</t>
  </si>
  <si>
    <t>Magnesium, Total (as Mg)</t>
  </si>
  <si>
    <t>Calcium, Total (as Ca)</t>
  </si>
  <si>
    <t>Sulfate, Total (as SO4)</t>
  </si>
  <si>
    <t>Sulfate</t>
  </si>
  <si>
    <t>00945</t>
  </si>
  <si>
    <t>Chloride (as Cl)</t>
  </si>
  <si>
    <t>Sodium Adsorption Ratio</t>
  </si>
  <si>
    <t>Water level, distance from measuring point</t>
  </si>
  <si>
    <t>Water Level</t>
  </si>
  <si>
    <t>ft</t>
  </si>
  <si>
    <t>Temperature, Water Deg. Centigrade</t>
  </si>
  <si>
    <t>Surfactants (MBAS)</t>
  </si>
  <si>
    <t>Surfactants</t>
  </si>
  <si>
    <t>Salinity</t>
  </si>
  <si>
    <t>00480</t>
  </si>
  <si>
    <t>DO, Oxygen, Dissolved</t>
  </si>
  <si>
    <t>COD, Oxygen Demand, Chem. (High Level)</t>
  </si>
  <si>
    <t>BOD, Carbonaceous 05 Day, 20C</t>
  </si>
  <si>
    <t>BOD, 5-Day (20 Deg. C) - Concentration</t>
  </si>
  <si>
    <t>CO310</t>
  </si>
  <si>
    <t>BOD, 5-Day (20 Deg. C)</t>
  </si>
  <si>
    <t>Phosphorus, Total (as P) - Concentration</t>
  </si>
  <si>
    <t>CO665</t>
  </si>
  <si>
    <t>Phosphorus, Total (as P)</t>
  </si>
  <si>
    <t>Phosphorous, Total Organic (as P)</t>
  </si>
  <si>
    <t>00660</t>
  </si>
  <si>
    <t>00670</t>
  </si>
  <si>
    <t>Phosphate, Ortho (as PO4)</t>
  </si>
  <si>
    <t>Nitrogen, Total (as N) - Concentration</t>
  </si>
  <si>
    <t>CO600</t>
  </si>
  <si>
    <t>Nitrogen, Total (as N)</t>
  </si>
  <si>
    <t>Nitrogen, Nitrite Total (as N)</t>
  </si>
  <si>
    <t>00615</t>
  </si>
  <si>
    <t>Nitrogen, Nitrate Total (as N)</t>
  </si>
  <si>
    <t>Nitrogen, Kjeldahl, Total (as N)</t>
  </si>
  <si>
    <t>Nitrogen Kjeldalh, Total (TKN)</t>
  </si>
  <si>
    <t>lbs/ac</t>
  </si>
  <si>
    <t>Nitrogen, Ammonia Total (as N) - Concentration</t>
  </si>
  <si>
    <t>CO610</t>
  </si>
  <si>
    <t>Nitrogen, Ammonia Total (as N)</t>
  </si>
  <si>
    <t>Nitrogen Oxides (as N)</t>
  </si>
  <si>
    <t>Nitrite plus Nitrate Total 1 DET. (as N)</t>
  </si>
  <si>
    <t>Nitrite + Nitrate</t>
  </si>
  <si>
    <t>Turbidity, HCH Turbidimeter</t>
  </si>
  <si>
    <t>Solids, Total, Percent</t>
  </si>
  <si>
    <t>%</t>
  </si>
  <si>
    <t>Solids, Total Suspended - Concentration</t>
  </si>
  <si>
    <t>CO530</t>
  </si>
  <si>
    <t>Solids, Total Suspended</t>
  </si>
  <si>
    <t>Solids, Total Dissolved- 180 Deg.C</t>
  </si>
  <si>
    <t>Solids, Total Dissolved</t>
  </si>
  <si>
    <t>Solids, Settleable</t>
  </si>
  <si>
    <t>Settleable Solids</t>
  </si>
  <si>
    <t>Residue, Tot Fltrble (dried at 105C)</t>
  </si>
  <si>
    <t>00515</t>
  </si>
  <si>
    <t>Zinc, Total (as Zn)</t>
  </si>
  <si>
    <t>Silver, Total (as Ag)</t>
  </si>
  <si>
    <t>Selenium, Total (as Se)</t>
  </si>
  <si>
    <t>Nickel, Total (as Ni)</t>
  </si>
  <si>
    <t>Mercury, Total (as Hg)</t>
  </si>
  <si>
    <t>Manganese, Total (as Mn)</t>
  </si>
  <si>
    <t>01055</t>
  </si>
  <si>
    <t>Lead, Total (as Pb)</t>
  </si>
  <si>
    <t>Iron, Total (as Fe)</t>
  </si>
  <si>
    <t>01045</t>
  </si>
  <si>
    <t>Copper, Total (as Cu)</t>
  </si>
  <si>
    <t>Chromium, Total (as Cr)</t>
  </si>
  <si>
    <t>Cadmium, Total (as Cd)</t>
  </si>
  <si>
    <t>Boron, Total (as B)</t>
  </si>
  <si>
    <t>Barium, Total (as Ba)</t>
  </si>
  <si>
    <t>01007</t>
  </si>
  <si>
    <t>Arsenic, Total (as As)</t>
  </si>
  <si>
    <t>Flow, in conduit or thru treatment plant</t>
  </si>
  <si>
    <t>Flow, Maximum Flow Range</t>
  </si>
  <si>
    <t>00092</t>
  </si>
  <si>
    <t>Non-Discharge Application Rate</t>
  </si>
  <si>
    <t>01284</t>
  </si>
  <si>
    <t>in/yr</t>
  </si>
  <si>
    <t>Coliform, Total MF, Immed,LES Endo Agar</t>
  </si>
  <si>
    <t>Coliform, Tot, MPN, Completed, (100 mL)</t>
  </si>
  <si>
    <t>MPN/100 mL</t>
  </si>
  <si>
    <t>Coliform, Fecal MF, M-FC Agar,44.5C,24hr</t>
  </si>
  <si>
    <t>Volatile Compounds, (GC/MS)</t>
  </si>
  <si>
    <t>Yes/No</t>
  </si>
  <si>
    <t>Pyrene</t>
  </si>
  <si>
    <t>µg/L</t>
  </si>
  <si>
    <t>Phenolics, Total Recoverable</t>
  </si>
  <si>
    <t>Phenol, Single Compound</t>
  </si>
  <si>
    <t>Formaldehyde</t>
  </si>
  <si>
    <t>Ethylene glycol</t>
  </si>
  <si>
    <t>Dichlorobenzene (Isomers) M/P In Water ug/l</t>
  </si>
  <si>
    <t>00125</t>
  </si>
  <si>
    <t>Chloroform</t>
  </si>
  <si>
    <t>Carbon, Tot Organic (TOC)</t>
  </si>
  <si>
    <t>Carbon, Dissolved Organic (As C)</t>
  </si>
  <si>
    <t>00681</t>
  </si>
  <si>
    <t>Organic Phosphorus</t>
  </si>
  <si>
    <t>Ortho Phosphate</t>
  </si>
  <si>
    <t>Nitrite</t>
  </si>
  <si>
    <t>Nitrogen Oxides</t>
  </si>
  <si>
    <t>% Solids</t>
  </si>
  <si>
    <t>Dichlorobenzene</t>
  </si>
  <si>
    <t>Ethylene Glycol</t>
  </si>
  <si>
    <t>Phenol - Single</t>
  </si>
  <si>
    <t>Phenolics - Recoverable</t>
  </si>
  <si>
    <t>Barium</t>
  </si>
  <si>
    <t>Iron</t>
  </si>
  <si>
    <t>Manganese</t>
  </si>
  <si>
    <t>Ammonia - Conc.</t>
  </si>
  <si>
    <r>
      <t>BOD</t>
    </r>
    <r>
      <rPr>
        <vertAlign val="subscript"/>
        <sz val="8"/>
        <rFont val="Trebuchet MS"/>
        <family val="2"/>
      </rPr>
      <t>5</t>
    </r>
    <r>
      <rPr>
        <sz val="8"/>
        <rFont val="Trebuchet MS"/>
        <family val="2"/>
      </rPr>
      <t xml:space="preserve"> - Conc.</t>
    </r>
  </si>
  <si>
    <t>TSS - Conc.</t>
  </si>
  <si>
    <t>Flow - Maximum</t>
  </si>
  <si>
    <t>ND Application Rate</t>
  </si>
  <si>
    <t>Permit Expiration:</t>
  </si>
  <si>
    <t>Sampling Type:</t>
  </si>
  <si>
    <t>Composite</t>
  </si>
  <si>
    <t>Grab</t>
  </si>
  <si>
    <t>Recorder</t>
  </si>
  <si>
    <t xml:space="preserve"> Parameter Monitoring Point:</t>
  </si>
  <si>
    <t xml:space="preserve"> Flow Measuring Point:</t>
  </si>
  <si>
    <t>Estimate</t>
  </si>
  <si>
    <t>Total Filterable Residue</t>
  </si>
  <si>
    <t>Total Nitrogen</t>
  </si>
  <si>
    <t>Total Phosphorus</t>
  </si>
  <si>
    <t>Total Residual Chlorine</t>
  </si>
  <si>
    <t>Daily Limit:</t>
  </si>
  <si>
    <t>Sample Frequency:</t>
  </si>
  <si>
    <t>Dissolved Organic Carbon</t>
  </si>
  <si>
    <t>Total Nitrogen - Conc.</t>
  </si>
  <si>
    <t>Total Phosphorus - Conc.</t>
  </si>
  <si>
    <t>ORC Arrival Time</t>
  </si>
  <si>
    <t>ORC Time On Site</t>
  </si>
  <si>
    <t>Chloride</t>
  </si>
  <si>
    <t>Official Parameter Name</t>
  </si>
  <si>
    <t>Total Suspended Solids</t>
  </si>
  <si>
    <t>Total Kjeldahl Nitrogen</t>
  </si>
  <si>
    <t>Total Organic Carbon</t>
  </si>
  <si>
    <t>Total Dissolved Solids</t>
  </si>
  <si>
    <t>Volatile Compounds</t>
  </si>
  <si>
    <t>Carbonaceous BOD</t>
  </si>
  <si>
    <t>Plant Available Nitrogen</t>
  </si>
  <si>
    <t>Calculated</t>
  </si>
  <si>
    <t>Fecal Coliform</t>
  </si>
  <si>
    <t>Average</t>
  </si>
  <si>
    <t>Geomean</t>
  </si>
  <si>
    <t>MAX/MIN</t>
  </si>
  <si>
    <t>Monthly Avg. Limit:</t>
  </si>
  <si>
    <t>Division of Water Resources</t>
  </si>
  <si>
    <t>WQ09C</t>
  </si>
  <si>
    <t>Plant Available Nitrogen - Concentration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</si>
</sst>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
    <numFmt numFmtId="165" formatCode="hh:mm"/>
  </numFmts>
  <fonts count="15" x14ac:knownFonts="1">
    <font>
      <sz val="10"/>
      <name val="Arial"/>
    </font>
    <font>
      <sz val="8"/>
      <name val="Arial"/>
      <family val="2"/>
    </font>
    <font>
      <b/>
      <sz val="14"/>
      <name val="Arial"/>
      <family val="2"/>
    </font>
    <font>
      <sz val="10"/>
      <name val="Arial"/>
      <family val="2"/>
    </font>
    <font>
      <b/>
      <sz val="10"/>
      <name val="Arial"/>
      <family val="2"/>
    </font>
    <font>
      <sz val="12"/>
      <name val="Arial"/>
      <family val="2"/>
    </font>
    <font>
      <b/>
      <sz val="11"/>
      <name val="Arial"/>
      <family val="2"/>
    </font>
    <font>
      <sz val="8"/>
      <name val="Tahoma"/>
      <family val="2"/>
    </font>
    <font>
      <sz val="8"/>
      <color indexed="81"/>
      <name val="Tahoma"/>
      <family val="2"/>
    </font>
    <font>
      <sz val="8"/>
      <name val="Trebuchet MS"/>
      <family val="2"/>
    </font>
    <font>
      <vertAlign val="subscript"/>
      <sz val="8"/>
      <name val="Trebuchet MS"/>
      <family val="2"/>
    </font>
    <font>
      <sz val="8"/>
      <name val="Times New Roman"/>
      <family val="1"/>
    </font>
    <font>
      <b/>
      <sz val="8"/>
      <name val="Trebuchet MS"/>
      <family val="2"/>
    </font>
    <font>
      <sz val="9"/>
      <name val="Arial"/>
      <family val="2"/>
    </font>
    <font>
      <sz val="8"/>
      <color rgb="FF000000"/>
      <name val="Trebuchet MS"/>
      <family val="2"/>
    </font>
  </fonts>
  <fills count="8">
    <fill>
      <patternFill patternType="none"/>
    </fill>
    <fill>
      <patternFill patternType="gray125"/>
    </fill>
    <fill>
      <patternFill patternType="solid">
        <fgColor theme="0"/>
        <bgColor indexed="64"/>
      </patternFill>
    </fill>
    <fill>
      <patternFill patternType="solid">
        <fgColor theme="0" tint="-0.24994659260841701"/>
        <bgColor indexed="64"/>
      </patternFill>
    </fill>
    <fill>
      <patternFill patternType="solid">
        <fgColor theme="0" tint="-0.249977111117893"/>
        <bgColor indexed="64"/>
      </patternFill>
    </fill>
    <fill>
      <patternFill patternType="solid">
        <fgColor rgb="FFFFFF00"/>
        <bgColor indexed="64"/>
      </patternFill>
    </fill>
    <fill>
      <patternFill patternType="solid">
        <fgColor theme="9" tint="0.39997558519241921"/>
        <bgColor indexed="64"/>
      </patternFill>
    </fill>
    <fill>
      <patternFill patternType="solid">
        <fgColor theme="8" tint="0.39997558519241921"/>
        <bgColor indexed="64"/>
      </patternFill>
    </fill>
  </fills>
  <borders count="64">
    <border>
      <left/>
      <right/>
      <top/>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double">
        <color indexed="64"/>
      </bottom>
      <diagonal/>
    </border>
    <border>
      <left style="medium">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right style="medium">
        <color indexed="64"/>
      </right>
      <top style="medium">
        <color indexed="64"/>
      </top>
      <bottom style="medium">
        <color indexed="64"/>
      </bottom>
      <diagonal/>
    </border>
    <border>
      <left/>
      <right/>
      <top/>
      <bottom style="medium">
        <color indexed="64"/>
      </bottom>
      <diagonal/>
    </border>
    <border>
      <left style="thin">
        <color indexed="64"/>
      </left>
      <right style="medium">
        <color indexed="64"/>
      </right>
      <top style="double">
        <color indexed="64"/>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top/>
      <bottom style="medium">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medium">
        <color indexed="64"/>
      </bottom>
      <diagonal/>
    </border>
    <border>
      <left style="medium">
        <color indexed="64"/>
      </left>
      <right/>
      <top style="medium">
        <color indexed="64"/>
      </top>
      <bottom style="double">
        <color indexed="64"/>
      </bottom>
      <diagonal/>
    </border>
    <border>
      <left/>
      <right/>
      <top style="medium">
        <color indexed="64"/>
      </top>
      <bottom style="double">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medium">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double">
        <color indexed="64"/>
      </top>
      <bottom style="thin">
        <color indexed="64"/>
      </bottom>
      <diagonal/>
    </border>
    <border>
      <left/>
      <right/>
      <top style="double">
        <color indexed="64"/>
      </top>
      <bottom style="thin">
        <color indexed="64"/>
      </bottom>
      <diagonal/>
    </border>
    <border>
      <left/>
      <right style="medium">
        <color indexed="64"/>
      </right>
      <top style="double">
        <color indexed="64"/>
      </top>
      <bottom style="thin">
        <color indexed="64"/>
      </bottom>
      <diagonal/>
    </border>
    <border>
      <left style="medium">
        <color indexed="64"/>
      </left>
      <right/>
      <top/>
      <bottom/>
      <diagonal/>
    </border>
    <border>
      <left style="medium">
        <color indexed="64"/>
      </left>
      <right/>
      <top/>
      <bottom style="thin">
        <color indexed="64"/>
      </bottom>
      <diagonal/>
    </border>
    <border>
      <left/>
      <right/>
      <top/>
      <bottom style="thin">
        <color indexed="64"/>
      </bottom>
      <diagonal/>
    </border>
    <border>
      <left/>
      <right style="double">
        <color indexed="64"/>
      </right>
      <top/>
      <bottom/>
      <diagonal/>
    </border>
    <border>
      <left/>
      <right style="double">
        <color indexed="64"/>
      </right>
      <top/>
      <bottom style="thin">
        <color indexed="64"/>
      </bottom>
      <diagonal/>
    </border>
    <border>
      <left/>
      <right style="medium">
        <color indexed="64"/>
      </right>
      <top/>
      <bottom/>
      <diagonal/>
    </border>
    <border>
      <left/>
      <right style="medium">
        <color indexed="64"/>
      </right>
      <top/>
      <bottom style="thin">
        <color indexed="64"/>
      </bottom>
      <diagonal/>
    </border>
    <border>
      <left style="medium">
        <color indexed="64"/>
      </left>
      <right/>
      <top style="thin">
        <color indexed="64"/>
      </top>
      <bottom/>
      <diagonal/>
    </border>
    <border>
      <left/>
      <right/>
      <top style="thin">
        <color indexed="64"/>
      </top>
      <bottom/>
      <diagonal/>
    </border>
    <border>
      <left/>
      <right style="double">
        <color indexed="64"/>
      </right>
      <top style="thin">
        <color indexed="64"/>
      </top>
      <bottom/>
      <diagonal/>
    </border>
    <border>
      <left style="medium">
        <color indexed="64"/>
      </left>
      <right/>
      <top/>
      <bottom style="medium">
        <color indexed="64"/>
      </bottom>
      <diagonal/>
    </border>
    <border>
      <left/>
      <right style="double">
        <color indexed="64"/>
      </right>
      <top/>
      <bottom style="medium">
        <color indexed="64"/>
      </bottom>
      <diagonal/>
    </border>
    <border>
      <left style="double">
        <color indexed="64"/>
      </left>
      <right/>
      <top/>
      <bottom style="medium">
        <color indexed="64"/>
      </bottom>
      <diagonal/>
    </border>
    <border>
      <left/>
      <right style="medium">
        <color indexed="64"/>
      </right>
      <top/>
      <bottom style="medium">
        <color indexed="64"/>
      </bottom>
      <diagonal/>
    </border>
    <border>
      <left style="double">
        <color indexed="64"/>
      </left>
      <right/>
      <top/>
      <bottom/>
      <diagonal/>
    </border>
    <border>
      <left style="medium">
        <color indexed="64"/>
      </left>
      <right/>
      <top style="medium">
        <color indexed="64"/>
      </top>
      <bottom/>
      <diagonal/>
    </border>
    <border>
      <left/>
      <right/>
      <top style="medium">
        <color indexed="64"/>
      </top>
      <bottom/>
      <diagonal/>
    </border>
    <border>
      <left/>
      <right style="double">
        <color indexed="64"/>
      </right>
      <top style="medium">
        <color indexed="64"/>
      </top>
      <bottom/>
      <diagonal/>
    </border>
    <border>
      <left style="double">
        <color indexed="64"/>
      </left>
      <right/>
      <top style="medium">
        <color indexed="64"/>
      </top>
      <bottom/>
      <diagonal/>
    </border>
    <border>
      <left/>
      <right style="medium">
        <color indexed="64"/>
      </right>
      <top style="medium">
        <color indexed="64"/>
      </top>
      <bottom/>
      <diagonal/>
    </border>
    <border>
      <left style="double">
        <color indexed="64"/>
      </left>
      <right/>
      <top style="medium">
        <color indexed="64"/>
      </top>
      <bottom style="medium">
        <color indexed="64"/>
      </bottom>
      <diagonal/>
    </border>
  </borders>
  <cellStyleXfs count="1">
    <xf numFmtId="0" fontId="0" fillId="0" borderId="0"/>
  </cellStyleXfs>
  <cellXfs count="193">
    <xf numFmtId="0" fontId="0" fillId="0" borderId="0" xfId="0"/>
    <xf numFmtId="0" fontId="3" fillId="0" borderId="0" xfId="0" applyFont="1" applyProtection="1"/>
    <xf numFmtId="0" fontId="3" fillId="0" borderId="0" xfId="0" applyFont="1" applyAlignment="1" applyProtection="1"/>
    <xf numFmtId="0" fontId="3" fillId="0" borderId="0" xfId="0" applyFont="1" applyAlignment="1" applyProtection="1">
      <alignment horizontal="left"/>
    </xf>
    <xf numFmtId="0" fontId="9" fillId="0" borderId="0" xfId="0" applyFont="1" applyAlignment="1">
      <alignment horizontal="center" vertical="center"/>
    </xf>
    <xf numFmtId="165" fontId="3" fillId="2" borderId="1" xfId="0" applyNumberFormat="1" applyFont="1" applyFill="1" applyBorder="1" applyAlignment="1" applyProtection="1">
      <alignment horizontal="center" vertical="center"/>
      <protection locked="0"/>
    </xf>
    <xf numFmtId="0" fontId="3" fillId="2" borderId="2" xfId="0" applyNumberFormat="1" applyFont="1" applyFill="1" applyBorder="1" applyAlignment="1" applyProtection="1">
      <alignment horizontal="center" vertical="center"/>
      <protection locked="0"/>
    </xf>
    <xf numFmtId="3" fontId="3" fillId="3" borderId="3" xfId="0" applyNumberFormat="1" applyFont="1" applyFill="1" applyBorder="1" applyAlignment="1" applyProtection="1">
      <alignment horizontal="center" vertical="center"/>
      <protection locked="0"/>
    </xf>
    <xf numFmtId="3" fontId="3" fillId="3" borderId="4" xfId="0" applyNumberFormat="1" applyFont="1" applyFill="1" applyBorder="1" applyAlignment="1" applyProtection="1">
      <alignment horizontal="center" vertical="center"/>
      <protection locked="0"/>
    </xf>
    <xf numFmtId="3" fontId="3" fillId="3" borderId="5" xfId="0" applyNumberFormat="1" applyFont="1" applyFill="1" applyBorder="1" applyAlignment="1" applyProtection="1">
      <alignment horizontal="center" vertical="center"/>
      <protection locked="0"/>
    </xf>
    <xf numFmtId="0" fontId="11" fillId="0" borderId="0" xfId="0" applyFont="1" applyAlignment="1">
      <alignment horizontal="center"/>
    </xf>
    <xf numFmtId="0" fontId="11" fillId="0" borderId="0" xfId="0" quotePrefix="1" applyFont="1" applyAlignment="1">
      <alignment horizontal="center"/>
    </xf>
    <xf numFmtId="0" fontId="4" fillId="2" borderId="6" xfId="0" applyFont="1" applyFill="1" applyBorder="1" applyAlignment="1" applyProtection="1">
      <alignment horizontal="right" vertical="center"/>
    </xf>
    <xf numFmtId="0" fontId="4" fillId="2" borderId="6" xfId="0" applyFont="1" applyFill="1" applyBorder="1" applyAlignment="1" applyProtection="1">
      <alignment horizontal="center" vertical="center"/>
    </xf>
    <xf numFmtId="0" fontId="5" fillId="2" borderId="7" xfId="0" quotePrefix="1" applyFont="1" applyFill="1" applyBorder="1" applyAlignment="1" applyProtection="1">
      <alignment horizontal="left" vertical="center"/>
      <protection locked="0"/>
    </xf>
    <xf numFmtId="0" fontId="4" fillId="2" borderId="8" xfId="0" applyFont="1" applyFill="1" applyBorder="1" applyAlignment="1" applyProtection="1">
      <alignment horizontal="center" vertical="center" textRotation="90" wrapText="1"/>
    </xf>
    <xf numFmtId="0" fontId="4" fillId="2" borderId="9" xfId="0" applyFont="1" applyFill="1" applyBorder="1" applyAlignment="1" applyProtection="1">
      <alignment horizontal="center" vertical="center" textRotation="90" wrapText="1"/>
    </xf>
    <xf numFmtId="0" fontId="4" fillId="2" borderId="10" xfId="0" applyFont="1" applyFill="1" applyBorder="1" applyAlignment="1" applyProtection="1">
      <alignment horizontal="center" vertical="center"/>
    </xf>
    <xf numFmtId="164" fontId="4" fillId="2" borderId="11" xfId="0" applyNumberFormat="1" applyFont="1" applyFill="1" applyBorder="1" applyAlignment="1" applyProtection="1">
      <alignment horizontal="center" vertical="center"/>
      <protection locked="0"/>
    </xf>
    <xf numFmtId="0" fontId="4" fillId="2" borderId="12" xfId="0" applyFont="1" applyFill="1" applyBorder="1" applyAlignment="1" applyProtection="1">
      <alignment horizontal="center" vertical="center"/>
    </xf>
    <xf numFmtId="3" fontId="3" fillId="3" borderId="13" xfId="0" applyNumberFormat="1" applyFont="1" applyFill="1" applyBorder="1" applyAlignment="1" applyProtection="1">
      <alignment horizontal="center" vertical="center"/>
    </xf>
    <xf numFmtId="3" fontId="3" fillId="3" borderId="14" xfId="0" applyNumberFormat="1" applyFont="1" applyFill="1" applyBorder="1" applyAlignment="1" applyProtection="1">
      <alignment horizontal="center" vertical="center"/>
    </xf>
    <xf numFmtId="3" fontId="3" fillId="3" borderId="15" xfId="0" applyNumberFormat="1" applyFont="1" applyFill="1" applyBorder="1" applyAlignment="1" applyProtection="1">
      <alignment horizontal="center" vertical="center"/>
    </xf>
    <xf numFmtId="0" fontId="3" fillId="0" borderId="0" xfId="0" applyFont="1" applyAlignment="1" applyProtection="1">
      <alignment horizontal="left" vertical="center"/>
    </xf>
    <xf numFmtId="0" fontId="3" fillId="0" borderId="0" xfId="0" applyFont="1" applyAlignment="1" applyProtection="1">
      <alignment vertical="center"/>
    </xf>
    <xf numFmtId="0" fontId="5" fillId="2" borderId="16" xfId="0" applyFont="1" applyFill="1" applyBorder="1" applyAlignment="1" applyProtection="1">
      <alignment horizontal="center" vertical="center"/>
      <protection locked="0"/>
    </xf>
    <xf numFmtId="0" fontId="4" fillId="2" borderId="0" xfId="0" applyFont="1" applyFill="1" applyBorder="1" applyAlignment="1" applyProtection="1">
      <alignment horizontal="center" vertical="center"/>
    </xf>
    <xf numFmtId="0" fontId="4" fillId="2" borderId="17" xfId="0" applyFont="1" applyFill="1" applyBorder="1" applyAlignment="1" applyProtection="1">
      <alignment horizontal="center" vertical="center"/>
    </xf>
    <xf numFmtId="164" fontId="4" fillId="2" borderId="18" xfId="0" applyNumberFormat="1" applyFont="1" applyFill="1" applyBorder="1" applyAlignment="1" applyProtection="1">
      <alignment horizontal="center" vertical="center"/>
      <protection locked="0"/>
    </xf>
    <xf numFmtId="4" fontId="3" fillId="2" borderId="19" xfId="0" applyNumberFormat="1" applyFont="1" applyFill="1" applyBorder="1" applyAlignment="1" applyProtection="1">
      <alignment horizontal="center" vertical="center"/>
    </xf>
    <xf numFmtId="4" fontId="3" fillId="2" borderId="20" xfId="0" applyNumberFormat="1" applyFont="1" applyFill="1" applyBorder="1" applyAlignment="1" applyProtection="1">
      <alignment horizontal="center" vertical="center"/>
    </xf>
    <xf numFmtId="4" fontId="3" fillId="2" borderId="21" xfId="0" applyNumberFormat="1" applyFont="1" applyFill="1" applyBorder="1" applyAlignment="1" applyProtection="1">
      <alignment horizontal="center" vertical="center"/>
    </xf>
    <xf numFmtId="4" fontId="3" fillId="2" borderId="22" xfId="0" applyNumberFormat="1" applyFont="1" applyFill="1" applyBorder="1" applyAlignment="1" applyProtection="1">
      <alignment horizontal="center" vertical="center"/>
    </xf>
    <xf numFmtId="164" fontId="4" fillId="3" borderId="11" xfId="0" applyNumberFormat="1" applyFont="1" applyFill="1" applyBorder="1" applyAlignment="1" applyProtection="1">
      <alignment horizontal="center" vertical="center"/>
    </xf>
    <xf numFmtId="164" fontId="4" fillId="2" borderId="11" xfId="0" applyNumberFormat="1" applyFont="1" applyFill="1" applyBorder="1" applyAlignment="1" applyProtection="1">
      <alignment horizontal="center" vertical="center"/>
    </xf>
    <xf numFmtId="164" fontId="4" fillId="2" borderId="22" xfId="0" applyNumberFormat="1" applyFont="1" applyFill="1" applyBorder="1" applyAlignment="1" applyProtection="1">
      <alignment horizontal="center" vertical="center"/>
    </xf>
    <xf numFmtId="0" fontId="4" fillId="3" borderId="4" xfId="0" applyFont="1" applyFill="1" applyBorder="1" applyAlignment="1" applyProtection="1">
      <alignment horizontal="center" vertical="center" textRotation="90" wrapText="1"/>
    </xf>
    <xf numFmtId="164" fontId="4" fillId="4" borderId="11" xfId="0" applyNumberFormat="1" applyFont="1" applyFill="1" applyBorder="1" applyAlignment="1" applyProtection="1">
      <alignment horizontal="center" vertical="center"/>
    </xf>
    <xf numFmtId="49" fontId="9" fillId="0" borderId="2" xfId="0" applyNumberFormat="1" applyFont="1" applyBorder="1" applyAlignment="1">
      <alignment horizontal="center" vertical="center"/>
    </xf>
    <xf numFmtId="0" fontId="9" fillId="0" borderId="2" xfId="0" applyFont="1" applyBorder="1" applyAlignment="1">
      <alignment horizontal="center" vertical="center"/>
    </xf>
    <xf numFmtId="0" fontId="9" fillId="0" borderId="2" xfId="0" quotePrefix="1" applyFont="1" applyBorder="1" applyAlignment="1">
      <alignment horizontal="center" vertical="center"/>
    </xf>
    <xf numFmtId="49" fontId="9" fillId="0" borderId="2" xfId="0" applyNumberFormat="1" applyFont="1" applyBorder="1" applyAlignment="1">
      <alignment horizontal="center" vertical="center" wrapText="1"/>
    </xf>
    <xf numFmtId="0" fontId="9" fillId="0" borderId="2" xfId="0" applyFont="1" applyFill="1" applyBorder="1" applyAlignment="1">
      <alignment horizontal="center" vertical="center"/>
    </xf>
    <xf numFmtId="49" fontId="12" fillId="0" borderId="2" xfId="0" applyNumberFormat="1" applyFont="1" applyBorder="1" applyAlignment="1">
      <alignment horizontal="center" vertical="center"/>
    </xf>
    <xf numFmtId="0" fontId="12" fillId="0" borderId="2" xfId="0" applyFont="1" applyBorder="1" applyAlignment="1">
      <alignment horizontal="center" vertical="center"/>
    </xf>
    <xf numFmtId="0" fontId="14" fillId="0" borderId="2" xfId="0" applyFont="1" applyBorder="1" applyAlignment="1">
      <alignment horizontal="center" vertical="center"/>
    </xf>
    <xf numFmtId="164" fontId="4" fillId="4" borderId="11" xfId="0" applyNumberFormat="1" applyFont="1" applyFill="1" applyBorder="1" applyAlignment="1" applyProtection="1">
      <alignment horizontal="center" vertical="center"/>
      <protection locked="0"/>
    </xf>
    <xf numFmtId="164" fontId="4" fillId="2" borderId="11" xfId="0" applyNumberFormat="1" applyFont="1" applyFill="1" applyBorder="1" applyAlignment="1" applyProtection="1">
      <alignment horizontal="center" vertical="center" textRotation="90" wrapText="1"/>
    </xf>
    <xf numFmtId="164" fontId="4" fillId="4" borderId="11" xfId="0" applyNumberFormat="1" applyFont="1" applyFill="1" applyBorder="1" applyAlignment="1" applyProtection="1">
      <alignment horizontal="center" vertical="center" textRotation="90" wrapText="1"/>
    </xf>
    <xf numFmtId="164" fontId="4" fillId="2" borderId="20" xfId="0" applyNumberFormat="1" applyFont="1" applyFill="1" applyBorder="1" applyAlignment="1" applyProtection="1">
      <alignment horizontal="center" vertical="center" textRotation="90" wrapText="1"/>
    </xf>
    <xf numFmtId="0" fontId="3" fillId="2" borderId="23" xfId="0" applyNumberFormat="1" applyFont="1" applyFill="1" applyBorder="1" applyAlignment="1" applyProtection="1">
      <alignment horizontal="center" vertical="center"/>
      <protection locked="0"/>
    </xf>
    <xf numFmtId="0" fontId="3" fillId="3" borderId="23" xfId="0" applyNumberFormat="1" applyFont="1" applyFill="1" applyBorder="1" applyAlignment="1" applyProtection="1">
      <alignment horizontal="center" vertical="center"/>
      <protection locked="0"/>
    </xf>
    <xf numFmtId="0" fontId="3" fillId="2" borderId="24" xfId="0" applyNumberFormat="1" applyFont="1" applyFill="1" applyBorder="1" applyAlignment="1" applyProtection="1">
      <alignment horizontal="center" vertical="center"/>
      <protection locked="0"/>
    </xf>
    <xf numFmtId="0" fontId="3" fillId="3" borderId="2" xfId="0" applyNumberFormat="1" applyFont="1" applyFill="1" applyBorder="1" applyAlignment="1" applyProtection="1">
      <alignment horizontal="center" vertical="center"/>
      <protection locked="0"/>
    </xf>
    <xf numFmtId="0" fontId="3" fillId="2" borderId="20" xfId="0" applyNumberFormat="1" applyFont="1" applyFill="1" applyBorder="1" applyAlignment="1" applyProtection="1">
      <alignment horizontal="center" vertical="center"/>
      <protection locked="0"/>
    </xf>
    <xf numFmtId="0" fontId="3" fillId="2" borderId="25" xfId="0" applyNumberFormat="1" applyFont="1" applyFill="1" applyBorder="1" applyAlignment="1" applyProtection="1">
      <alignment horizontal="center" vertical="center"/>
      <protection locked="0"/>
    </xf>
    <xf numFmtId="0" fontId="3" fillId="3" borderId="25" xfId="0" applyNumberFormat="1" applyFont="1" applyFill="1" applyBorder="1" applyAlignment="1" applyProtection="1">
      <alignment horizontal="center" vertical="center"/>
      <protection locked="0"/>
    </xf>
    <xf numFmtId="0" fontId="3" fillId="2" borderId="22" xfId="0" applyNumberFormat="1" applyFont="1" applyFill="1" applyBorder="1" applyAlignment="1" applyProtection="1">
      <alignment horizontal="center" vertical="center"/>
      <protection locked="0"/>
    </xf>
    <xf numFmtId="0" fontId="4" fillId="2" borderId="26" xfId="0" applyFont="1" applyFill="1" applyBorder="1" applyAlignment="1" applyProtection="1">
      <alignment horizontal="center" vertical="center"/>
    </xf>
    <xf numFmtId="164" fontId="4" fillId="3" borderId="5" xfId="0" applyNumberFormat="1" applyFont="1" applyFill="1" applyBorder="1" applyAlignment="1" applyProtection="1">
      <alignment horizontal="center" vertical="center"/>
    </xf>
    <xf numFmtId="3" fontId="13" fillId="3" borderId="23" xfId="0" applyNumberFormat="1" applyFont="1" applyFill="1" applyBorder="1" applyAlignment="1" applyProtection="1">
      <alignment horizontal="center" vertical="center"/>
      <protection locked="0"/>
    </xf>
    <xf numFmtId="3" fontId="13" fillId="2" borderId="23" xfId="0" applyNumberFormat="1" applyFont="1" applyFill="1" applyBorder="1" applyAlignment="1" applyProtection="1">
      <alignment horizontal="center" vertical="center"/>
      <protection locked="0"/>
    </xf>
    <xf numFmtId="3" fontId="13" fillId="2" borderId="24" xfId="0" applyNumberFormat="1" applyFont="1" applyFill="1" applyBorder="1" applyAlignment="1" applyProtection="1">
      <alignment horizontal="center" vertical="center"/>
      <protection locked="0"/>
    </xf>
    <xf numFmtId="0" fontId="3" fillId="4" borderId="2" xfId="0" applyNumberFormat="1" applyFont="1" applyFill="1" applyBorder="1" applyAlignment="1" applyProtection="1">
      <alignment horizontal="center" vertical="center"/>
      <protection locked="0"/>
    </xf>
    <xf numFmtId="3" fontId="13" fillId="3" borderId="27" xfId="0" applyNumberFormat="1" applyFont="1" applyFill="1" applyBorder="1" applyAlignment="1" applyProtection="1">
      <alignment horizontal="center" vertical="center"/>
      <protection locked="0"/>
    </xf>
    <xf numFmtId="3" fontId="3" fillId="3" borderId="1" xfId="0" applyNumberFormat="1" applyFont="1" applyFill="1" applyBorder="1" applyAlignment="1" applyProtection="1">
      <alignment horizontal="center" vertical="center"/>
      <protection locked="0"/>
    </xf>
    <xf numFmtId="3" fontId="13" fillId="3" borderId="1" xfId="0" applyNumberFormat="1" applyFont="1" applyFill="1" applyBorder="1" applyAlignment="1" applyProtection="1">
      <alignment horizontal="center" vertical="center"/>
      <protection locked="0"/>
    </xf>
    <xf numFmtId="0" fontId="13" fillId="2" borderId="2" xfId="0" applyNumberFormat="1" applyFont="1" applyFill="1" applyBorder="1" applyAlignment="1" applyProtection="1">
      <alignment horizontal="center" vertical="center"/>
      <protection locked="0"/>
    </xf>
    <xf numFmtId="0" fontId="13" fillId="4" borderId="2" xfId="0" applyNumberFormat="1" applyFont="1" applyFill="1" applyBorder="1" applyAlignment="1" applyProtection="1">
      <alignment horizontal="center" vertical="center"/>
      <protection locked="0"/>
    </xf>
    <xf numFmtId="0" fontId="13" fillId="2" borderId="20" xfId="0" applyNumberFormat="1" applyFont="1" applyFill="1" applyBorder="1" applyAlignment="1" applyProtection="1">
      <alignment horizontal="center" vertical="center"/>
      <protection locked="0"/>
    </xf>
    <xf numFmtId="4" fontId="3" fillId="0" borderId="28" xfId="0" applyNumberFormat="1" applyFont="1" applyFill="1" applyBorder="1" applyAlignment="1" applyProtection="1">
      <alignment horizontal="center" vertical="center"/>
    </xf>
    <xf numFmtId="4" fontId="3" fillId="3" borderId="28" xfId="0" applyNumberFormat="1" applyFont="1" applyFill="1" applyBorder="1" applyAlignment="1" applyProtection="1">
      <alignment horizontal="center" vertical="center"/>
    </xf>
    <xf numFmtId="4" fontId="3" fillId="0" borderId="24" xfId="0" applyNumberFormat="1" applyFont="1" applyFill="1" applyBorder="1" applyAlignment="1" applyProtection="1">
      <alignment horizontal="center" vertical="center"/>
    </xf>
    <xf numFmtId="4" fontId="3" fillId="3" borderId="19" xfId="0" applyNumberFormat="1" applyFont="1" applyFill="1" applyBorder="1" applyAlignment="1" applyProtection="1">
      <alignment horizontal="center" vertical="center"/>
    </xf>
    <xf numFmtId="4" fontId="3" fillId="3" borderId="21" xfId="0" applyNumberFormat="1" applyFont="1" applyFill="1" applyBorder="1" applyAlignment="1" applyProtection="1">
      <alignment horizontal="center" vertical="center"/>
    </xf>
    <xf numFmtId="0" fontId="3" fillId="5" borderId="0" xfId="0" applyFont="1" applyFill="1" applyAlignment="1" applyProtection="1">
      <alignment horizontal="center" vertical="center"/>
    </xf>
    <xf numFmtId="0" fontId="3" fillId="6" borderId="0" xfId="0" applyFont="1" applyFill="1" applyAlignment="1" applyProtection="1">
      <alignment horizontal="center" vertical="center"/>
    </xf>
    <xf numFmtId="0" fontId="3" fillId="7" borderId="0" xfId="0" applyFont="1" applyFill="1" applyAlignment="1" applyProtection="1">
      <alignment horizontal="center" vertical="center"/>
    </xf>
    <xf numFmtId="0" fontId="5" fillId="0" borderId="29" xfId="0" applyFont="1" applyBorder="1" applyAlignment="1" applyProtection="1">
      <alignment horizontal="center" vertical="center"/>
      <protection locked="0"/>
    </xf>
    <xf numFmtId="0" fontId="5" fillId="0" borderId="16" xfId="0" applyFont="1" applyBorder="1" applyAlignment="1" applyProtection="1">
      <alignment horizontal="center" vertical="center"/>
      <protection locked="0"/>
    </xf>
    <xf numFmtId="0" fontId="4" fillId="2" borderId="30" xfId="0" applyFont="1" applyFill="1" applyBorder="1" applyAlignment="1" applyProtection="1">
      <alignment horizontal="center" vertical="center"/>
    </xf>
    <xf numFmtId="0" fontId="0" fillId="0" borderId="31" xfId="0" applyBorder="1" applyAlignment="1" applyProtection="1">
      <alignment horizontal="center" vertical="center"/>
    </xf>
    <xf numFmtId="0" fontId="4" fillId="2" borderId="13" xfId="0" applyFont="1" applyFill="1" applyBorder="1" applyAlignment="1" applyProtection="1">
      <alignment horizontal="right" vertical="center"/>
    </xf>
    <xf numFmtId="0" fontId="3" fillId="2" borderId="32" xfId="0" applyFont="1" applyFill="1" applyBorder="1" applyAlignment="1" applyProtection="1">
      <alignment horizontal="right" vertical="center"/>
    </xf>
    <xf numFmtId="0" fontId="3" fillId="2" borderId="33" xfId="0" applyFont="1" applyFill="1" applyBorder="1" applyAlignment="1" applyProtection="1">
      <alignment horizontal="right" vertical="center"/>
    </xf>
    <xf numFmtId="0" fontId="4" fillId="2" borderId="34" xfId="0" applyFont="1" applyFill="1" applyBorder="1" applyAlignment="1" applyProtection="1">
      <alignment horizontal="center" vertical="center" textRotation="90"/>
    </xf>
    <xf numFmtId="0" fontId="3" fillId="2" borderId="35" xfId="0" applyFont="1" applyFill="1" applyBorder="1" applyAlignment="1" applyProtection="1">
      <alignment horizontal="center" vertical="center"/>
    </xf>
    <xf numFmtId="0" fontId="4" fillId="2" borderId="4" xfId="0" applyFont="1" applyFill="1" applyBorder="1" applyAlignment="1" applyProtection="1">
      <alignment horizontal="right" vertical="center"/>
    </xf>
    <xf numFmtId="0" fontId="0" fillId="0" borderId="2" xfId="0" applyBorder="1" applyAlignment="1">
      <alignment horizontal="right" vertical="center"/>
    </xf>
    <xf numFmtId="0" fontId="0" fillId="0" borderId="20" xfId="0" applyBorder="1" applyAlignment="1">
      <alignment horizontal="right" vertical="center"/>
    </xf>
    <xf numFmtId="0" fontId="4" fillId="2" borderId="3" xfId="0" applyFont="1" applyFill="1" applyBorder="1" applyAlignment="1" applyProtection="1">
      <alignment horizontal="right" vertical="center"/>
    </xf>
    <xf numFmtId="0" fontId="0" fillId="0" borderId="23" xfId="0" applyBorder="1" applyAlignment="1">
      <alignment horizontal="right" vertical="center"/>
    </xf>
    <xf numFmtId="0" fontId="0" fillId="0" borderId="24" xfId="0" applyBorder="1" applyAlignment="1">
      <alignment horizontal="right" vertical="center"/>
    </xf>
    <xf numFmtId="0" fontId="4" fillId="2" borderId="14" xfId="0" applyFont="1" applyFill="1" applyBorder="1" applyAlignment="1" applyProtection="1">
      <alignment horizontal="right" vertical="center"/>
    </xf>
    <xf numFmtId="0" fontId="3" fillId="2" borderId="36" xfId="0" applyFont="1" applyFill="1" applyBorder="1" applyAlignment="1" applyProtection="1">
      <alignment horizontal="right" vertical="center"/>
    </xf>
    <xf numFmtId="0" fontId="3" fillId="2" borderId="37" xfId="0" applyFont="1" applyFill="1" applyBorder="1" applyAlignment="1" applyProtection="1">
      <alignment horizontal="right" vertical="center"/>
    </xf>
    <xf numFmtId="0" fontId="4" fillId="2" borderId="15" xfId="0" applyFont="1" applyFill="1" applyBorder="1" applyAlignment="1" applyProtection="1">
      <alignment horizontal="right" vertical="center"/>
    </xf>
    <xf numFmtId="0" fontId="3" fillId="2" borderId="38" xfId="0" applyFont="1" applyFill="1" applyBorder="1" applyAlignment="1" applyProtection="1">
      <alignment horizontal="right" vertical="center"/>
    </xf>
    <xf numFmtId="0" fontId="3" fillId="2" borderId="39" xfId="0" applyFont="1" applyFill="1" applyBorder="1" applyAlignment="1" applyProtection="1">
      <alignment horizontal="right" vertical="center"/>
    </xf>
    <xf numFmtId="0" fontId="4" fillId="2" borderId="6" xfId="0" applyFont="1" applyFill="1" applyBorder="1" applyAlignment="1" applyProtection="1">
      <alignment horizontal="right" vertical="center"/>
    </xf>
    <xf numFmtId="0" fontId="0" fillId="0" borderId="29" xfId="0" applyBorder="1" applyAlignment="1" applyProtection="1">
      <alignment horizontal="right" vertical="center"/>
    </xf>
    <xf numFmtId="0" fontId="5" fillId="2" borderId="29" xfId="0" applyFont="1" applyFill="1" applyBorder="1" applyAlignment="1" applyProtection="1">
      <alignment horizontal="left" vertical="center"/>
      <protection locked="0"/>
    </xf>
    <xf numFmtId="0" fontId="5" fillId="2" borderId="16" xfId="0" applyFont="1" applyFill="1" applyBorder="1" applyAlignment="1" applyProtection="1">
      <alignment horizontal="left" vertical="center"/>
      <protection locked="0"/>
    </xf>
    <xf numFmtId="0" fontId="4" fillId="2" borderId="6" xfId="0" applyFont="1" applyFill="1" applyBorder="1" applyAlignment="1" applyProtection="1">
      <alignment horizontal="center" vertical="center"/>
    </xf>
    <xf numFmtId="0" fontId="0" fillId="0" borderId="29" xfId="0" applyBorder="1" applyAlignment="1" applyProtection="1">
      <alignment horizontal="center"/>
    </xf>
    <xf numFmtId="0" fontId="5" fillId="0" borderId="29" xfId="0" applyFont="1" applyBorder="1" applyAlignment="1" applyProtection="1">
      <alignment horizontal="left" vertical="center"/>
      <protection locked="0"/>
    </xf>
    <xf numFmtId="0" fontId="5" fillId="0" borderId="16" xfId="0" applyFont="1" applyBorder="1" applyAlignment="1" applyProtection="1">
      <alignment horizontal="left" vertical="center"/>
      <protection locked="0"/>
    </xf>
    <xf numFmtId="0" fontId="5" fillId="2" borderId="29" xfId="0" applyFont="1" applyFill="1" applyBorder="1" applyAlignment="1" applyProtection="1">
      <alignment horizontal="center" vertical="center"/>
      <protection locked="0"/>
    </xf>
    <xf numFmtId="0" fontId="3" fillId="0" borderId="36" xfId="0" applyFont="1" applyBorder="1" applyAlignment="1">
      <alignment horizontal="right" vertical="center"/>
    </xf>
    <xf numFmtId="0" fontId="3" fillId="0" borderId="37" xfId="0" applyFont="1" applyBorder="1" applyAlignment="1">
      <alignment horizontal="right" vertical="center"/>
    </xf>
    <xf numFmtId="0" fontId="0" fillId="0" borderId="36" xfId="0" applyBorder="1" applyAlignment="1">
      <alignment horizontal="right" vertical="center"/>
    </xf>
    <xf numFmtId="0" fontId="0" fillId="0" borderId="37" xfId="0" applyBorder="1" applyAlignment="1">
      <alignment horizontal="right" vertical="center"/>
    </xf>
    <xf numFmtId="0" fontId="4" fillId="2" borderId="30" xfId="0" applyFont="1" applyFill="1" applyBorder="1" applyAlignment="1" applyProtection="1">
      <alignment horizontal="left" vertical="center"/>
      <protection locked="0"/>
    </xf>
    <xf numFmtId="0" fontId="0" fillId="2" borderId="31" xfId="0" applyFill="1" applyBorder="1" applyAlignment="1" applyProtection="1">
      <protection locked="0"/>
    </xf>
    <xf numFmtId="0" fontId="0" fillId="2" borderId="7" xfId="0" applyFill="1" applyBorder="1" applyAlignment="1" applyProtection="1">
      <protection locked="0"/>
    </xf>
    <xf numFmtId="0" fontId="4" fillId="2" borderId="40" xfId="0" applyFont="1" applyFill="1" applyBorder="1" applyAlignment="1" applyProtection="1">
      <alignment horizontal="left" vertical="center"/>
    </xf>
    <xf numFmtId="0" fontId="3" fillId="2" borderId="41" xfId="0" applyFont="1" applyFill="1" applyBorder="1" applyAlignment="1" applyProtection="1">
      <alignment horizontal="left" vertical="center"/>
    </xf>
    <xf numFmtId="0" fontId="3" fillId="2" borderId="42" xfId="0" applyFont="1" applyFill="1" applyBorder="1" applyAlignment="1" applyProtection="1">
      <alignment horizontal="left" vertical="center"/>
    </xf>
    <xf numFmtId="0" fontId="6" fillId="2" borderId="0" xfId="0" applyFont="1" applyFill="1" applyBorder="1" applyAlignment="1" applyProtection="1">
      <alignment horizontal="center" vertical="center" wrapText="1"/>
    </xf>
    <xf numFmtId="0" fontId="6" fillId="2" borderId="0" xfId="0" applyFont="1" applyFill="1" applyAlignment="1" applyProtection="1">
      <alignment horizontal="center" vertical="center" wrapText="1"/>
    </xf>
    <xf numFmtId="0" fontId="3" fillId="2" borderId="0" xfId="0" applyFont="1" applyFill="1" applyBorder="1" applyAlignment="1" applyProtection="1">
      <protection locked="0"/>
    </xf>
    <xf numFmtId="0" fontId="0" fillId="2" borderId="48" xfId="0" applyFill="1" applyBorder="1" applyAlignment="1" applyProtection="1">
      <protection locked="0"/>
    </xf>
    <xf numFmtId="0" fontId="0" fillId="2" borderId="45" xfId="0" applyFill="1" applyBorder="1" applyAlignment="1" applyProtection="1">
      <protection locked="0"/>
    </xf>
    <xf numFmtId="0" fontId="0" fillId="2" borderId="49" xfId="0" applyFill="1" applyBorder="1" applyAlignment="1" applyProtection="1">
      <protection locked="0"/>
    </xf>
    <xf numFmtId="0" fontId="3" fillId="2" borderId="50" xfId="0" applyFont="1" applyFill="1" applyBorder="1" applyAlignment="1" applyProtection="1">
      <alignment horizontal="center" vertical="center"/>
    </xf>
    <xf numFmtId="0" fontId="0" fillId="2" borderId="51" xfId="0" applyFill="1" applyBorder="1" applyAlignment="1" applyProtection="1">
      <alignment horizontal="center" vertical="center"/>
    </xf>
    <xf numFmtId="0" fontId="3" fillId="2" borderId="51" xfId="0" applyFont="1" applyFill="1" applyBorder="1" applyAlignment="1" applyProtection="1">
      <alignment horizontal="center" vertical="center"/>
    </xf>
    <xf numFmtId="0" fontId="0" fillId="2" borderId="52" xfId="0" applyFill="1" applyBorder="1" applyAlignment="1" applyProtection="1">
      <alignment horizontal="center" vertical="center"/>
    </xf>
    <xf numFmtId="0" fontId="3" fillId="2" borderId="0" xfId="0" applyFont="1" applyFill="1" applyBorder="1" applyAlignment="1" applyProtection="1">
      <alignment horizontal="center" vertical="center"/>
    </xf>
    <xf numFmtId="0" fontId="0" fillId="2" borderId="0" xfId="0" applyFill="1" applyAlignment="1" applyProtection="1">
      <alignment horizontal="center" vertical="center"/>
    </xf>
    <xf numFmtId="0" fontId="0" fillId="2" borderId="48" xfId="0" applyFill="1" applyBorder="1" applyAlignment="1" applyProtection="1">
      <alignment horizontal="center" vertical="center"/>
    </xf>
    <xf numFmtId="0" fontId="1" fillId="2" borderId="53" xfId="0" applyFont="1" applyFill="1" applyBorder="1" applyAlignment="1" applyProtection="1">
      <alignment horizontal="center" vertical="top" wrapText="1"/>
    </xf>
    <xf numFmtId="0" fontId="0" fillId="2" borderId="17" xfId="0" applyFill="1" applyBorder="1" applyAlignment="1" applyProtection="1">
      <alignment horizontal="center" vertical="top" wrapText="1"/>
    </xf>
    <xf numFmtId="0" fontId="0" fillId="2" borderId="54" xfId="0" applyFill="1" applyBorder="1" applyAlignment="1" applyProtection="1">
      <alignment horizontal="center" vertical="top" wrapText="1"/>
    </xf>
    <xf numFmtId="0" fontId="1" fillId="2" borderId="55" xfId="0" applyFont="1" applyFill="1" applyBorder="1" applyAlignment="1" applyProtection="1">
      <alignment horizontal="center" vertical="top" wrapText="1"/>
    </xf>
    <xf numFmtId="0" fontId="0" fillId="2" borderId="56" xfId="0" applyFill="1" applyBorder="1" applyAlignment="1" applyProtection="1">
      <alignment horizontal="center" vertical="top" wrapText="1"/>
    </xf>
    <xf numFmtId="0" fontId="3" fillId="2" borderId="43" xfId="0" applyFont="1" applyFill="1" applyBorder="1" applyAlignment="1" applyProtection="1"/>
    <xf numFmtId="0" fontId="0" fillId="2" borderId="0" xfId="0" applyFill="1" applyBorder="1" applyAlignment="1" applyProtection="1"/>
    <xf numFmtId="0" fontId="0" fillId="2" borderId="44" xfId="0" applyFill="1" applyBorder="1" applyAlignment="1" applyProtection="1"/>
    <xf numFmtId="0" fontId="0" fillId="2" borderId="45" xfId="0" applyFill="1" applyBorder="1" applyAlignment="1" applyProtection="1"/>
    <xf numFmtId="0" fontId="3" fillId="2" borderId="0" xfId="0" applyFont="1" applyFill="1" applyBorder="1" applyAlignment="1" applyProtection="1"/>
    <xf numFmtId="0" fontId="0" fillId="2" borderId="0" xfId="0" applyFill="1" applyAlignment="1" applyProtection="1"/>
    <xf numFmtId="0" fontId="0" fillId="2" borderId="46" xfId="0" applyFill="1" applyBorder="1" applyAlignment="1" applyProtection="1">
      <protection locked="0"/>
    </xf>
    <xf numFmtId="0" fontId="0" fillId="2" borderId="47" xfId="0" applyFill="1" applyBorder="1" applyAlignment="1" applyProtection="1">
      <protection locked="0"/>
    </xf>
    <xf numFmtId="0" fontId="5" fillId="2" borderId="0" xfId="0" applyFont="1" applyFill="1" applyBorder="1" applyAlignment="1" applyProtection="1">
      <alignment horizontal="left" vertical="center"/>
      <protection locked="0"/>
    </xf>
    <xf numFmtId="0" fontId="4" fillId="2" borderId="0" xfId="0" applyFont="1" applyFill="1" applyBorder="1" applyAlignment="1" applyProtection="1">
      <alignment horizontal="left" vertical="center"/>
    </xf>
    <xf numFmtId="0" fontId="0" fillId="0" borderId="0" xfId="0" applyAlignment="1" applyProtection="1">
      <alignment horizontal="left" vertical="center"/>
    </xf>
    <xf numFmtId="0" fontId="5" fillId="0" borderId="0" xfId="0" applyFont="1" applyAlignment="1" applyProtection="1">
      <alignment horizontal="left" vertical="center"/>
      <protection locked="0"/>
    </xf>
    <xf numFmtId="0" fontId="5" fillId="0" borderId="46" xfId="0" applyFont="1" applyBorder="1" applyAlignment="1" applyProtection="1">
      <alignment horizontal="left" vertical="center"/>
      <protection locked="0"/>
    </xf>
    <xf numFmtId="0" fontId="4" fillId="2" borderId="57" xfId="0" applyFont="1" applyFill="1" applyBorder="1" applyAlignment="1" applyProtection="1">
      <alignment horizontal="left" vertical="center"/>
    </xf>
    <xf numFmtId="0" fontId="4" fillId="2" borderId="43" xfId="0" applyFont="1" applyFill="1" applyBorder="1" applyAlignment="1" applyProtection="1">
      <alignment horizontal="left" vertical="center"/>
      <protection locked="0"/>
    </xf>
    <xf numFmtId="0" fontId="4" fillId="2" borderId="0" xfId="0" applyFont="1" applyFill="1" applyBorder="1" applyAlignment="1" applyProtection="1">
      <alignment horizontal="left" vertical="center"/>
      <protection locked="0"/>
    </xf>
    <xf numFmtId="0" fontId="4" fillId="2" borderId="46" xfId="0" applyFont="1" applyFill="1" applyBorder="1" applyAlignment="1" applyProtection="1">
      <alignment horizontal="left" vertical="center"/>
      <protection locked="0"/>
    </xf>
    <xf numFmtId="0" fontId="5" fillId="2" borderId="0" xfId="0" applyFont="1" applyFill="1" applyAlignment="1" applyProtection="1">
      <alignment horizontal="left" vertical="center"/>
      <protection locked="0"/>
    </xf>
    <xf numFmtId="0" fontId="5" fillId="0" borderId="48" xfId="0" applyFont="1" applyBorder="1" applyAlignment="1" applyProtection="1">
      <alignment horizontal="left" vertical="center"/>
      <protection locked="0"/>
    </xf>
    <xf numFmtId="0" fontId="4" fillId="2" borderId="43" xfId="0" applyFont="1" applyFill="1" applyBorder="1" applyAlignment="1" applyProtection="1">
      <alignment horizontal="left" vertical="center"/>
    </xf>
    <xf numFmtId="0" fontId="4" fillId="2" borderId="0" xfId="0" applyFont="1" applyFill="1" applyAlignment="1" applyProtection="1">
      <alignment horizontal="left" vertical="center"/>
    </xf>
    <xf numFmtId="14" fontId="5" fillId="2" borderId="0" xfId="0" applyNumberFormat="1" applyFont="1" applyFill="1" applyAlignment="1" applyProtection="1">
      <alignment horizontal="left" vertical="center"/>
      <protection locked="0"/>
    </xf>
    <xf numFmtId="14" fontId="5" fillId="0" borderId="48" xfId="0" applyNumberFormat="1" applyFont="1" applyBorder="1" applyAlignment="1" applyProtection="1">
      <alignment horizontal="left" vertical="center"/>
      <protection locked="0"/>
    </xf>
    <xf numFmtId="0" fontId="4" fillId="2" borderId="58" xfId="0" applyFont="1" applyFill="1" applyBorder="1" applyAlignment="1" applyProtection="1">
      <alignment horizontal="left" vertical="center"/>
    </xf>
    <xf numFmtId="0" fontId="0" fillId="0" borderId="59" xfId="0" applyBorder="1" applyAlignment="1" applyProtection="1">
      <alignment horizontal="left" vertical="center"/>
    </xf>
    <xf numFmtId="0" fontId="5" fillId="2" borderId="59" xfId="0" applyFont="1" applyFill="1" applyBorder="1" applyAlignment="1" applyProtection="1">
      <alignment horizontal="left" vertical="center"/>
      <protection locked="0"/>
    </xf>
    <xf numFmtId="0" fontId="5" fillId="0" borderId="59" xfId="0" applyFont="1" applyBorder="1" applyAlignment="1" applyProtection="1">
      <alignment horizontal="left" vertical="center"/>
      <protection locked="0"/>
    </xf>
    <xf numFmtId="0" fontId="5" fillId="0" borderId="60" xfId="0" applyFont="1" applyBorder="1" applyAlignment="1" applyProtection="1">
      <alignment horizontal="left" vertical="center"/>
      <protection locked="0"/>
    </xf>
    <xf numFmtId="0" fontId="4" fillId="2" borderId="61" xfId="0" applyFont="1" applyFill="1" applyBorder="1" applyAlignment="1" applyProtection="1">
      <alignment horizontal="left" vertical="center"/>
    </xf>
    <xf numFmtId="0" fontId="5" fillId="0" borderId="62" xfId="0" applyFont="1" applyBorder="1" applyAlignment="1" applyProtection="1">
      <alignment horizontal="left" vertical="center"/>
      <protection locked="0"/>
    </xf>
    <xf numFmtId="0" fontId="2" fillId="2" borderId="59" xfId="0" applyFont="1" applyFill="1" applyBorder="1" applyAlignment="1" applyProtection="1">
      <alignment horizontal="left" vertical="center"/>
      <protection locked="0"/>
    </xf>
    <xf numFmtId="0" fontId="3" fillId="2" borderId="0" xfId="0" applyFont="1" applyFill="1" applyBorder="1" applyAlignment="1" applyProtection="1">
      <alignment horizontal="center" vertical="center" wrapText="1"/>
    </xf>
    <xf numFmtId="0" fontId="0" fillId="0" borderId="0" xfId="0" applyBorder="1" applyAlignment="1">
      <alignment horizontal="center" vertical="center" wrapText="1"/>
    </xf>
    <xf numFmtId="0" fontId="3" fillId="2" borderId="6" xfId="0" applyFont="1" applyFill="1" applyBorder="1" applyAlignment="1" applyProtection="1">
      <alignment vertical="top" wrapText="1"/>
      <protection locked="0"/>
    </xf>
    <xf numFmtId="0" fontId="0" fillId="0" borderId="29" xfId="0" applyBorder="1" applyAlignment="1" applyProtection="1">
      <alignment vertical="top" wrapText="1"/>
      <protection locked="0"/>
    </xf>
    <xf numFmtId="0" fontId="0" fillId="0" borderId="16" xfId="0" applyBorder="1" applyAlignment="1" applyProtection="1">
      <alignment vertical="top" wrapText="1"/>
      <protection locked="0"/>
    </xf>
    <xf numFmtId="0" fontId="3" fillId="2" borderId="29" xfId="0" applyFont="1" applyFill="1" applyBorder="1" applyAlignment="1" applyProtection="1"/>
    <xf numFmtId="0" fontId="0" fillId="0" borderId="29" xfId="0" applyBorder="1" applyAlignment="1"/>
    <xf numFmtId="0" fontId="4" fillId="2" borderId="29" xfId="0" applyFont="1" applyFill="1" applyBorder="1" applyAlignment="1" applyProtection="1">
      <alignment horizontal="center" vertical="center"/>
    </xf>
    <xf numFmtId="0" fontId="4" fillId="2" borderId="63" xfId="0" applyFont="1" applyFill="1" applyBorder="1" applyAlignment="1" applyProtection="1">
      <alignment horizontal="center" vertical="center"/>
    </xf>
    <xf numFmtId="0" fontId="4" fillId="2" borderId="16" xfId="0" applyFont="1" applyFill="1" applyBorder="1" applyAlignment="1" applyProtection="1">
      <alignment horizontal="center" vertical="center"/>
    </xf>
    <xf numFmtId="0" fontId="4" fillId="2" borderId="53" xfId="0" applyFont="1" applyFill="1" applyBorder="1" applyAlignment="1" applyProtection="1">
      <alignment horizontal="center" vertical="center"/>
    </xf>
    <xf numFmtId="0" fontId="0" fillId="0" borderId="17" xfId="0" applyBorder="1" applyAlignment="1" applyProtection="1">
      <alignment horizontal="center" vertical="center"/>
    </xf>
    <xf numFmtId="0" fontId="5" fillId="2" borderId="17" xfId="0" applyFont="1" applyFill="1" applyBorder="1" applyAlignment="1" applyProtection="1">
      <alignment horizontal="left" vertical="center"/>
      <protection locked="0"/>
    </xf>
    <xf numFmtId="0" fontId="5" fillId="0" borderId="17" xfId="0" applyFont="1" applyBorder="1" applyAlignment="1" applyProtection="1">
      <alignment horizontal="left"/>
      <protection locked="0"/>
    </xf>
    <xf numFmtId="0" fontId="5" fillId="0" borderId="54" xfId="0" applyFont="1" applyBorder="1" applyAlignment="1" applyProtection="1">
      <alignment horizontal="left"/>
      <protection locked="0"/>
    </xf>
    <xf numFmtId="0" fontId="5" fillId="0" borderId="17" xfId="0" applyFont="1" applyBorder="1" applyAlignment="1" applyProtection="1">
      <alignment horizontal="left" vertical="center"/>
      <protection locked="0"/>
    </xf>
    <xf numFmtId="0" fontId="5" fillId="0" borderId="56" xfId="0" applyFont="1" applyBorder="1" applyAlignment="1" applyProtection="1">
      <alignment horizontal="left" vertical="center"/>
      <protection locked="0"/>
    </xf>
    <xf numFmtId="0" fontId="4" fillId="2" borderId="58" xfId="0" applyFont="1" applyFill="1" applyBorder="1" applyAlignment="1" applyProtection="1">
      <alignment horizontal="center" vertical="center"/>
    </xf>
    <xf numFmtId="0" fontId="0" fillId="2" borderId="59" xfId="0" applyFill="1" applyBorder="1" applyAlignment="1" applyProtection="1">
      <alignment horizontal="center" vertical="center"/>
    </xf>
    <xf numFmtId="0" fontId="0" fillId="2" borderId="60" xfId="0" applyFill="1" applyBorder="1" applyAlignment="1" applyProtection="1">
      <alignment horizontal="center" vertical="center"/>
    </xf>
    <xf numFmtId="0" fontId="4" fillId="2" borderId="59" xfId="0" applyFont="1" applyFill="1" applyBorder="1" applyAlignment="1" applyProtection="1">
      <alignment horizontal="center" vertical="center"/>
    </xf>
    <xf numFmtId="0" fontId="0" fillId="2" borderId="62" xfId="0" applyFill="1" applyBorder="1" applyAlignment="1" applyProtection="1">
      <alignment horizontal="center" vertical="center"/>
    </xf>
    <xf numFmtId="0" fontId="4" fillId="2" borderId="43" xfId="0" applyFont="1" applyFill="1" applyBorder="1" applyAlignment="1" applyProtection="1">
      <alignment horizontal="center" vertical="center"/>
    </xf>
    <xf numFmtId="0" fontId="0" fillId="0" borderId="0" xfId="0" applyAlignment="1" applyProtection="1">
      <alignment horizontal="center" vertical="center"/>
    </xf>
    <xf numFmtId="0" fontId="5" fillId="0" borderId="0" xfId="0" applyFont="1" applyAlignment="1" applyProtection="1">
      <alignment horizontal="left"/>
      <protection locked="0"/>
    </xf>
    <xf numFmtId="0" fontId="5" fillId="0" borderId="46" xfId="0" applyFont="1" applyBorder="1" applyAlignment="1" applyProtection="1">
      <alignment horizontal="left"/>
      <protection locked="0"/>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ctrlProps/ctrlProp1.xml><?xml version="1.0" encoding="utf-8"?>
<formControlPr xmlns="http://schemas.microsoft.com/office/spreadsheetml/2009/9/main" objectType="CheckBox" lockText="1"/>
</file>

<file path=xl/ctrlProps/ctrlProp2.xml><?xml version="1.0" encoding="utf-8"?>
<formControlPr xmlns="http://schemas.microsoft.com/office/spreadsheetml/2009/9/main" objectType="CheckBox" lockText="1"/>
</file>

<file path=xl/ctrlProps/ctrlProp3.xml><?xml version="1.0" encoding="utf-8"?>
<formControlPr xmlns="http://schemas.microsoft.com/office/spreadsheetml/2009/9/main" objectType="CheckBox" lockText="1"/>
</file>

<file path=xl/ctrlProps/ctrlProp4.xml><?xml version="1.0" encoding="utf-8"?>
<formControlPr xmlns="http://schemas.microsoft.com/office/spreadsheetml/2009/9/main" objectType="CheckBox" lockText="1"/>
</file>

<file path=xl/ctrlProps/ctrlProp5.xml><?xml version="1.0" encoding="utf-8"?>
<formControlPr xmlns="http://schemas.microsoft.com/office/spreadsheetml/2009/9/main" objectType="CheckBox" lockText="1"/>
</file>

<file path=xl/ctrlProps/ctrlProp6.xml><?xml version="1.0" encoding="utf-8"?>
<formControlPr xmlns="http://schemas.microsoft.com/office/spreadsheetml/2009/9/main" objectType="CheckBox" lockText="1"/>
</file>

<file path=xl/ctrlProps/ctrlProp7.xml><?xml version="1.0" encoding="utf-8"?>
<formControlPr xmlns="http://schemas.microsoft.com/office/spreadsheetml/2009/9/main" objectType="CheckBox" lockText="1"/>
</file>

<file path=xl/ctrlProps/ctrlProp8.xml><?xml version="1.0" encoding="utf-8"?>
<formControlPr xmlns="http://schemas.microsoft.com/office/spreadsheetml/2009/9/main" objectType="CheckBox" lockText="1"/>
</file>

<file path=xl/ctrlProps/ctrlProp9.xml><?xml version="1.0" encoding="utf-8"?>
<formControlPr xmlns="http://schemas.microsoft.com/office/spreadsheetml/2009/9/main" objectType="CheckBox" lockText="1"/>
</file>

<file path=xl/ctrlProps/ctrlProp10.xml><?xml version="1.0" encoding="utf-8"?>
<formControlPr xmlns="http://schemas.microsoft.com/office/spreadsheetml/2009/9/main" objectType="CheckBox" lockText="1"/>
</file>

<file path=xl/ctrlProps/ctrlProp11.xml><?xml version="1.0" encoding="utf-8"?>
<formControlPr xmlns="http://schemas.microsoft.com/office/spreadsheetml/2009/9/main" objectType="CheckBox" lockText="1"/>
</file>

<file path=xl/drawings/drawing1.xml><?xml version="1.0" encoding="utf-8"?>
<xdr:wsDr xmlns:xdr="http://schemas.openxmlformats.org/drawingml/2006/spreadsheetDrawing" xmlns:a="http://schemas.openxmlformats.org/drawingml/2006/main">
  <xdr:twoCellAnchor>
    <xdr:from>
      <xdr:col>2</xdr:col>
      <xdr:colOff>333375</xdr:colOff>
      <xdr:row>2</xdr:row>
      <xdr:rowOff>133350</xdr:rowOff>
    </xdr:from>
    <xdr:to>
      <xdr:col>2</xdr:col>
      <xdr:colOff>561975</xdr:colOff>
      <xdr:row>2</xdr:row>
      <xdr:rowOff>133350</xdr:rowOff>
    </xdr:to>
    <xdr:cxnSp macro="">
      <xdr:nvCxnSpPr>
        <xdr:cNvPr id="1236" name="AutoShape 170">
          <a:extLst>
            <a:ext uri="{FF2B5EF4-FFF2-40B4-BE49-F238E27FC236}">
              <a16:creationId xmlns:a16="http://schemas.microsoft.com/office/drawing/2014/main" id="{00000000-0008-0000-0000-0000D4040000}"/>
            </a:ext>
          </a:extLst>
        </xdr:cNvPr>
        <xdr:cNvCxnSpPr>
          <a:cxnSpLocks noChangeShapeType="1"/>
        </xdr:cNvCxnSpPr>
      </xdr:nvCxnSpPr>
      <xdr:spPr bwMode="auto">
        <a:xfrm>
          <a:off x="1114425" y="704850"/>
          <a:ext cx="228600" cy="0"/>
        </a:xfrm>
        <a:prstGeom prst="straightConnector1">
          <a:avLst/>
        </a:prstGeom>
        <a:noFill/>
        <a:ln w="9525">
          <a:solidFill>
            <a:srgbClr val="000000"/>
          </a:solidFill>
          <a:round/>
          <a:headEnd/>
          <a:tailEnd type="triangle" w="med" len="med"/>
        </a:ln>
      </xdr:spPr>
    </xdr:cxnSp>
    <xdr:clientData/>
  </xdr:twoCellAnchor>
  <mc:AlternateContent xmlns:mc="http://schemas.openxmlformats.org/markup-compatibility/2006">
    <mc:Choice xmlns:a14="http://schemas.microsoft.com/office/drawing/2010/main" Requires="a14">
      <xdr:twoCellAnchor editAs="oneCell">
        <xdr:from>
          <xdr:col>5</xdr:col>
          <xdr:colOff>209550</xdr:colOff>
          <xdr:row>1</xdr:row>
          <xdr:rowOff>19050</xdr:rowOff>
        </xdr:from>
        <xdr:to>
          <xdr:col>6</xdr:col>
          <xdr:colOff>196850</xdr:colOff>
          <xdr:row>1</xdr:row>
          <xdr:rowOff>171450</xdr:rowOff>
        </xdr:to>
        <xdr:sp macro="" textlink="">
          <xdr:nvSpPr>
            <xdr:cNvPr id="1063" name="Check Box 39" hidden="1">
              <a:extLst>
                <a:ext uri="{63B3BB69-23CF-44E3-9099-C40C66FF867C}">
                  <a14:compatExt spid="_x0000_s1063"/>
                </a:ext>
                <a:ext uri="{FF2B5EF4-FFF2-40B4-BE49-F238E27FC236}">
                  <a16:creationId xmlns:a16="http://schemas.microsoft.com/office/drawing/2014/main" id="{00000000-0008-0000-0000-00002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22860" rIns="0" bIns="22860" anchor="ctr" upright="1"/>
            <a:lstStyle/>
            <a:p>
              <a:pPr algn="l" rtl="0">
                <a:defRPr sz="1000"/>
              </a:pPr>
              <a:r>
                <a:rPr lang="en-US" sz="800" b="0" i="0" u="none" strike="noStrike" baseline="0">
                  <a:solidFill>
                    <a:srgbClr val="000000"/>
                  </a:solidFill>
                  <a:latin typeface="Tahoma"/>
                  <a:ea typeface="Tahoma"/>
                  <a:cs typeface="Tahoma"/>
                </a:rPr>
                <a:t>Influent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279400</xdr:colOff>
          <xdr:row>1</xdr:row>
          <xdr:rowOff>19050</xdr:rowOff>
        </xdr:from>
        <xdr:to>
          <xdr:col>9</xdr:col>
          <xdr:colOff>190500</xdr:colOff>
          <xdr:row>1</xdr:row>
          <xdr:rowOff>171450</xdr:rowOff>
        </xdr:to>
        <xdr:sp macro="" textlink="">
          <xdr:nvSpPr>
            <xdr:cNvPr id="1064" name="Check Box 40" hidden="1">
              <a:extLst>
                <a:ext uri="{63B3BB69-23CF-44E3-9099-C40C66FF867C}">
                  <a14:compatExt spid="_x0000_s1064"/>
                </a:ext>
                <a:ext uri="{FF2B5EF4-FFF2-40B4-BE49-F238E27FC236}">
                  <a16:creationId xmlns:a16="http://schemas.microsoft.com/office/drawing/2014/main" id="{00000000-0008-0000-0000-00002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22860" rIns="0" bIns="22860" anchor="ctr" upright="1"/>
            <a:lstStyle/>
            <a:p>
              <a:pPr algn="l" rtl="0">
                <a:defRPr sz="1000"/>
              </a:pPr>
              <a:r>
                <a:rPr lang="en-US" sz="800" b="0" i="0" u="none" strike="noStrike" baseline="0">
                  <a:solidFill>
                    <a:srgbClr val="000000"/>
                  </a:solidFill>
                  <a:latin typeface="Tahoma"/>
                  <a:ea typeface="Tahoma"/>
                  <a:cs typeface="Tahoma"/>
                </a:rPr>
                <a:t>No flow generated</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222250</xdr:colOff>
          <xdr:row>1</xdr:row>
          <xdr:rowOff>19050</xdr:rowOff>
        </xdr:from>
        <xdr:to>
          <xdr:col>7</xdr:col>
          <xdr:colOff>273050</xdr:colOff>
          <xdr:row>1</xdr:row>
          <xdr:rowOff>171450</xdr:rowOff>
        </xdr:to>
        <xdr:sp macro="" textlink="">
          <xdr:nvSpPr>
            <xdr:cNvPr id="1065" name="Check Box 41" hidden="1">
              <a:extLst>
                <a:ext uri="{63B3BB69-23CF-44E3-9099-C40C66FF867C}">
                  <a14:compatExt spid="_x0000_s1065"/>
                </a:ext>
                <a:ext uri="{FF2B5EF4-FFF2-40B4-BE49-F238E27FC236}">
                  <a16:creationId xmlns:a16="http://schemas.microsoft.com/office/drawing/2014/main" id="{00000000-0008-0000-0000-00002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22860" rIns="0" bIns="22860" anchor="ctr" upright="1"/>
            <a:lstStyle/>
            <a:p>
              <a:pPr algn="l" rtl="0">
                <a:defRPr sz="1000"/>
              </a:pPr>
              <a:r>
                <a:rPr lang="en-US" sz="800" b="0" i="0" u="none" strike="noStrike" baseline="0">
                  <a:solidFill>
                    <a:srgbClr val="000000"/>
                  </a:solidFill>
                  <a:latin typeface="Tahoma"/>
                  <a:ea typeface="Tahoma"/>
                  <a:cs typeface="Tahoma"/>
                </a:rPr>
                <a:t>Effluent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13</xdr:col>
          <xdr:colOff>25400</xdr:colOff>
          <xdr:row>1</xdr:row>
          <xdr:rowOff>6350</xdr:rowOff>
        </xdr:from>
        <xdr:to>
          <xdr:col>14</xdr:col>
          <xdr:colOff>12700</xdr:colOff>
          <xdr:row>1</xdr:row>
          <xdr:rowOff>165100</xdr:rowOff>
        </xdr:to>
        <xdr:sp macro="" textlink="">
          <xdr:nvSpPr>
            <xdr:cNvPr id="1067" name="Check Box 43" hidden="1">
              <a:extLst>
                <a:ext uri="{63B3BB69-23CF-44E3-9099-C40C66FF867C}">
                  <a14:compatExt spid="_x0000_s1067"/>
                </a:ext>
                <a:ext uri="{FF2B5EF4-FFF2-40B4-BE49-F238E27FC236}">
                  <a16:creationId xmlns:a16="http://schemas.microsoft.com/office/drawing/2014/main" id="{00000000-0008-0000-0000-00002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22860" rIns="0" bIns="22860" anchor="ctr" upright="1"/>
            <a:lstStyle/>
            <a:p>
              <a:pPr algn="l" rtl="0">
                <a:defRPr sz="1000"/>
              </a:pPr>
              <a:r>
                <a:rPr lang="en-US" sz="800" b="0" i="0" u="none" strike="noStrike" baseline="0">
                  <a:solidFill>
                    <a:srgbClr val="000000"/>
                  </a:solidFill>
                  <a:latin typeface="Tahoma"/>
                  <a:ea typeface="Tahoma"/>
                  <a:cs typeface="Tahoma"/>
                </a:rPr>
                <a:t>Influent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25400</xdr:colOff>
          <xdr:row>1</xdr:row>
          <xdr:rowOff>19050</xdr:rowOff>
        </xdr:from>
        <xdr:to>
          <xdr:col>15</xdr:col>
          <xdr:colOff>25400</xdr:colOff>
          <xdr:row>1</xdr:row>
          <xdr:rowOff>165100</xdr:rowOff>
        </xdr:to>
        <xdr:sp macro="" textlink="">
          <xdr:nvSpPr>
            <xdr:cNvPr id="1068" name="Check Box 44" hidden="1">
              <a:extLst>
                <a:ext uri="{63B3BB69-23CF-44E3-9099-C40C66FF867C}">
                  <a14:compatExt spid="_x0000_s1068"/>
                </a:ext>
                <a:ext uri="{FF2B5EF4-FFF2-40B4-BE49-F238E27FC236}">
                  <a16:creationId xmlns:a16="http://schemas.microsoft.com/office/drawing/2014/main" id="{00000000-0008-0000-0000-00002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22860" rIns="0" bIns="22860" anchor="ctr" upright="1"/>
            <a:lstStyle/>
            <a:p>
              <a:pPr algn="l" rtl="0">
                <a:defRPr sz="1000"/>
              </a:pPr>
              <a:r>
                <a:rPr lang="en-US" sz="800" b="0" i="0" u="none" strike="noStrike" baseline="0">
                  <a:solidFill>
                    <a:srgbClr val="000000"/>
                  </a:solidFill>
                  <a:latin typeface="Tahoma"/>
                  <a:ea typeface="Tahoma"/>
                  <a:cs typeface="Tahoma"/>
                </a:rPr>
                <a:t>Effluent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146050</xdr:colOff>
          <xdr:row>1</xdr:row>
          <xdr:rowOff>19050</xdr:rowOff>
        </xdr:from>
        <xdr:to>
          <xdr:col>18</xdr:col>
          <xdr:colOff>368300</xdr:colOff>
          <xdr:row>1</xdr:row>
          <xdr:rowOff>165100</xdr:rowOff>
        </xdr:to>
        <xdr:sp macro="" textlink="">
          <xdr:nvSpPr>
            <xdr:cNvPr id="1069" name="Check Box 45" hidden="1">
              <a:extLst>
                <a:ext uri="{63B3BB69-23CF-44E3-9099-C40C66FF867C}">
                  <a14:compatExt spid="_x0000_s1069"/>
                </a:ext>
                <a:ext uri="{FF2B5EF4-FFF2-40B4-BE49-F238E27FC236}">
                  <a16:creationId xmlns:a16="http://schemas.microsoft.com/office/drawing/2014/main" id="{00000000-0008-0000-0000-00002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22860" rIns="0" bIns="22860" anchor="ctr" upright="1"/>
            <a:lstStyle/>
            <a:p>
              <a:pPr algn="l" rtl="0">
                <a:defRPr sz="1000"/>
              </a:pPr>
              <a:r>
                <a:rPr lang="en-US" sz="800" b="0" i="0" u="none" strike="noStrike" baseline="0">
                  <a:solidFill>
                    <a:srgbClr val="000000"/>
                  </a:solidFill>
                  <a:latin typeface="Tahoma"/>
                  <a:ea typeface="Tahoma"/>
                  <a:cs typeface="Tahoma"/>
                </a:rPr>
                <a:t>Surface Water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31750</xdr:colOff>
          <xdr:row>1</xdr:row>
          <xdr:rowOff>19050</xdr:rowOff>
        </xdr:from>
        <xdr:to>
          <xdr:col>17</xdr:col>
          <xdr:colOff>95250</xdr:colOff>
          <xdr:row>1</xdr:row>
          <xdr:rowOff>165100</xdr:rowOff>
        </xdr:to>
        <xdr:sp macro="" textlink="">
          <xdr:nvSpPr>
            <xdr:cNvPr id="1070" name="Check Box 46" hidden="1">
              <a:extLst>
                <a:ext uri="{63B3BB69-23CF-44E3-9099-C40C66FF867C}">
                  <a14:compatExt spid="_x0000_s1070"/>
                </a:ext>
                <a:ext uri="{FF2B5EF4-FFF2-40B4-BE49-F238E27FC236}">
                  <a16:creationId xmlns:a16="http://schemas.microsoft.com/office/drawing/2014/main" id="{00000000-0008-0000-0000-00002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22860" rIns="0" bIns="22860" anchor="ctr" upright="1"/>
            <a:lstStyle/>
            <a:p>
              <a:pPr algn="l" rtl="0">
                <a:defRPr sz="1000"/>
              </a:pPr>
              <a:r>
                <a:rPr lang="en-US" sz="800" b="0" i="0" u="none" strike="noStrike" baseline="0">
                  <a:solidFill>
                    <a:srgbClr val="000000"/>
                  </a:solidFill>
                  <a:latin typeface="Tahoma"/>
                  <a:ea typeface="Tahoma"/>
                  <a:cs typeface="Tahoma"/>
                </a:rPr>
                <a:t>Groundwater Lowering</a:t>
              </a:r>
            </a:p>
          </xdr:txBody>
        </xdr:sp>
        <xdr:clientData/>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6</xdr:col>
          <xdr:colOff>88900</xdr:colOff>
          <xdr:row>11</xdr:row>
          <xdr:rowOff>50800</xdr:rowOff>
        </xdr:from>
        <xdr:to>
          <xdr:col>6</xdr:col>
          <xdr:colOff>400050</xdr:colOff>
          <xdr:row>11</xdr:row>
          <xdr:rowOff>196850</xdr:rowOff>
        </xdr:to>
        <xdr:sp macro="" textlink="">
          <xdr:nvSpPr>
            <xdr:cNvPr id="3080" name="Check Box 8" hidden="1">
              <a:extLst>
                <a:ext uri="{63B3BB69-23CF-44E3-9099-C40C66FF867C}">
                  <a14:compatExt spid="_x0000_s3080"/>
                </a:ext>
                <a:ext uri="{FF2B5EF4-FFF2-40B4-BE49-F238E27FC236}">
                  <a16:creationId xmlns:a16="http://schemas.microsoft.com/office/drawing/2014/main" id="{00000000-0008-0000-0100-000008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50800</xdr:colOff>
          <xdr:row>11</xdr:row>
          <xdr:rowOff>50800</xdr:rowOff>
        </xdr:from>
        <xdr:to>
          <xdr:col>7</xdr:col>
          <xdr:colOff>336550</xdr:colOff>
          <xdr:row>11</xdr:row>
          <xdr:rowOff>196850</xdr:rowOff>
        </xdr:to>
        <xdr:sp macro="" textlink="">
          <xdr:nvSpPr>
            <xdr:cNvPr id="3081" name="Check Box 9" hidden="1">
              <a:extLst>
                <a:ext uri="{63B3BB69-23CF-44E3-9099-C40C66FF867C}">
                  <a14:compatExt spid="_x0000_s3081"/>
                </a:ext>
                <a:ext uri="{FF2B5EF4-FFF2-40B4-BE49-F238E27FC236}">
                  <a16:creationId xmlns:a16="http://schemas.microsoft.com/office/drawing/2014/main" id="{00000000-0008-0000-0100-000009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260350</xdr:colOff>
          <xdr:row>3</xdr:row>
          <xdr:rowOff>50800</xdr:rowOff>
        </xdr:from>
        <xdr:to>
          <xdr:col>17</xdr:col>
          <xdr:colOff>6350</xdr:colOff>
          <xdr:row>3</xdr:row>
          <xdr:rowOff>196850</xdr:rowOff>
        </xdr:to>
        <xdr:sp macro="" textlink="">
          <xdr:nvSpPr>
            <xdr:cNvPr id="3082" name="Check Box 10" hidden="1">
              <a:extLst>
                <a:ext uri="{63B3BB69-23CF-44E3-9099-C40C66FF867C}">
                  <a14:compatExt spid="_x0000_s3082"/>
                </a:ext>
                <a:ext uri="{FF2B5EF4-FFF2-40B4-BE49-F238E27FC236}">
                  <a16:creationId xmlns:a16="http://schemas.microsoft.com/office/drawing/2014/main" id="{00000000-0008-0000-0100-00000A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22860" rIns="0" bIns="22860" anchor="ctr" upright="1"/>
            <a:lstStyle/>
            <a:p>
              <a:pPr algn="l" rtl="0">
                <a:defRPr sz="1000"/>
              </a:pPr>
              <a:r>
                <a:rPr lang="en-US" sz="800" b="0" i="0" u="none" strike="noStrike" baseline="0">
                  <a:solidFill>
                    <a:srgbClr val="000000"/>
                  </a:solidFill>
                  <a:latin typeface="Tahoma"/>
                  <a:ea typeface="Tahoma"/>
                  <a:cs typeface="Tahoma"/>
                </a:rPr>
                <a:t>Compliant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50800</xdr:colOff>
          <xdr:row>3</xdr:row>
          <xdr:rowOff>50800</xdr:rowOff>
        </xdr:from>
        <xdr:to>
          <xdr:col>18</xdr:col>
          <xdr:colOff>323850</xdr:colOff>
          <xdr:row>3</xdr:row>
          <xdr:rowOff>196850</xdr:rowOff>
        </xdr:to>
        <xdr:sp macro="" textlink="">
          <xdr:nvSpPr>
            <xdr:cNvPr id="3083" name="Check Box 11" hidden="1">
              <a:extLst>
                <a:ext uri="{63B3BB69-23CF-44E3-9099-C40C66FF867C}">
                  <a14:compatExt spid="_x0000_s3083"/>
                </a:ext>
                <a:ext uri="{FF2B5EF4-FFF2-40B4-BE49-F238E27FC236}">
                  <a16:creationId xmlns:a16="http://schemas.microsoft.com/office/drawing/2014/main" id="{00000000-0008-0000-0100-00000B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22860" rIns="0" bIns="22860" anchor="ctr" upright="1"/>
            <a:lstStyle/>
            <a:p>
              <a:pPr algn="l" rtl="0">
                <a:defRPr sz="1000"/>
              </a:pPr>
              <a:r>
                <a:rPr lang="en-US" sz="800" b="0" i="0" u="none" strike="noStrike" baseline="0">
                  <a:solidFill>
                    <a:srgbClr val="000000"/>
                  </a:solidFill>
                  <a:latin typeface="Tahoma"/>
                  <a:ea typeface="Tahoma"/>
                  <a:cs typeface="Tahoma"/>
                </a:rPr>
                <a:t>Non-Compliant</a:t>
              </a:r>
            </a:p>
          </xdr:txBody>
        </xdr:sp>
        <xdr:clientData/>
      </xdr:twoCellAnchor>
    </mc:Choice>
    <mc:Fallback/>
  </mc:AlternateContent>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ctrlProp" Target="../ctrlProps/ctrlProp5.xml"/><Relationship Id="rId3" Type="http://schemas.openxmlformats.org/officeDocument/2006/relationships/vmlDrawing" Target="../drawings/vmlDrawing1.vml"/><Relationship Id="rId7" Type="http://schemas.openxmlformats.org/officeDocument/2006/relationships/ctrlProp" Target="../ctrlProps/ctrlProp4.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trlProp" Target="../ctrlProps/ctrlProp3.xml"/><Relationship Id="rId11" Type="http://schemas.openxmlformats.org/officeDocument/2006/relationships/comments" Target="../comments1.xml"/><Relationship Id="rId5" Type="http://schemas.openxmlformats.org/officeDocument/2006/relationships/ctrlProp" Target="../ctrlProps/ctrlProp2.xml"/><Relationship Id="rId10" Type="http://schemas.openxmlformats.org/officeDocument/2006/relationships/ctrlProp" Target="../ctrlProps/ctrlProp7.xml"/><Relationship Id="rId4" Type="http://schemas.openxmlformats.org/officeDocument/2006/relationships/ctrlProp" Target="../ctrlProps/ctrlProp1.xml"/><Relationship Id="rId9" Type="http://schemas.openxmlformats.org/officeDocument/2006/relationships/ctrlProp" Target="../ctrlProps/ctrlProp6.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7" Type="http://schemas.openxmlformats.org/officeDocument/2006/relationships/ctrlProp" Target="../ctrlProps/ctrlProp11.x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openxmlformats.org/officeDocument/2006/relationships/ctrlProp" Target="../ctrlProps/ctrlProp10.xml"/><Relationship Id="rId5" Type="http://schemas.openxmlformats.org/officeDocument/2006/relationships/ctrlProp" Target="../ctrlProps/ctrlProp9.xml"/><Relationship Id="rId4" Type="http://schemas.openxmlformats.org/officeDocument/2006/relationships/ctrlProp" Target="../ctrlProps/ctrlProp8.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T137"/>
  <sheetViews>
    <sheetView tabSelected="1" zoomScale="80" zoomScaleNormal="80" workbookViewId="0">
      <selection activeCell="C1" sqref="C1:D1"/>
    </sheetView>
  </sheetViews>
  <sheetFormatPr defaultColWidth="9.1796875" defaultRowHeight="12.5" x14ac:dyDescent="0.25"/>
  <cols>
    <col min="1" max="1" width="3.1796875" style="2" customWidth="1"/>
    <col min="2" max="2" width="8.54296875" style="2" customWidth="1"/>
    <col min="3" max="3" width="8.54296875" style="1" customWidth="1"/>
    <col min="4" max="4" width="9.81640625" style="1" bestFit="1" customWidth="1"/>
    <col min="5" max="19" width="9.26953125" style="1" customWidth="1"/>
    <col min="20" max="20" width="4.453125" style="1" customWidth="1"/>
    <col min="21" max="16384" width="9.1796875" style="1"/>
  </cols>
  <sheetData>
    <row r="1" spans="1:20" ht="22.5" customHeight="1" thickBot="1" x14ac:dyDescent="0.3">
      <c r="A1" s="99" t="s">
        <v>221</v>
      </c>
      <c r="B1" s="100"/>
      <c r="C1" s="101"/>
      <c r="D1" s="102"/>
      <c r="E1" s="103" t="s">
        <v>60</v>
      </c>
      <c r="F1" s="104"/>
      <c r="G1" s="101"/>
      <c r="H1" s="105"/>
      <c r="I1" s="105"/>
      <c r="J1" s="105"/>
      <c r="K1" s="106"/>
      <c r="L1" s="12" t="s">
        <v>63</v>
      </c>
      <c r="M1" s="107"/>
      <c r="N1" s="79"/>
      <c r="O1" s="12" t="s">
        <v>61</v>
      </c>
      <c r="P1" s="78"/>
      <c r="Q1" s="79"/>
      <c r="R1" s="13" t="s">
        <v>62</v>
      </c>
      <c r="S1" s="25"/>
      <c r="T1" s="3"/>
    </row>
    <row r="2" spans="1:20" ht="22.5" customHeight="1" thickBot="1" x14ac:dyDescent="0.3">
      <c r="A2" s="80" t="s">
        <v>65</v>
      </c>
      <c r="B2" s="81"/>
      <c r="C2" s="14"/>
      <c r="D2" s="112" t="s">
        <v>364</v>
      </c>
      <c r="E2" s="113"/>
      <c r="F2" s="113"/>
      <c r="G2" s="113"/>
      <c r="H2" s="113"/>
      <c r="I2" s="113"/>
      <c r="J2" s="114"/>
      <c r="K2" s="112" t="s">
        <v>363</v>
      </c>
      <c r="L2" s="113"/>
      <c r="M2" s="113"/>
      <c r="N2" s="113"/>
      <c r="O2" s="113"/>
      <c r="P2" s="113"/>
      <c r="Q2" s="113"/>
      <c r="R2" s="113"/>
      <c r="S2" s="114"/>
    </row>
    <row r="3" spans="1:20" ht="18.75" customHeight="1" thickTop="1" x14ac:dyDescent="0.25">
      <c r="A3" s="115" t="s">
        <v>59</v>
      </c>
      <c r="B3" s="116"/>
      <c r="C3" s="117"/>
      <c r="D3" s="33">
        <v>50050</v>
      </c>
      <c r="E3" s="18"/>
      <c r="F3" s="46"/>
      <c r="G3" s="18"/>
      <c r="H3" s="46"/>
      <c r="I3" s="18"/>
      <c r="J3" s="46"/>
      <c r="K3" s="18"/>
      <c r="L3" s="46"/>
      <c r="M3" s="18"/>
      <c r="N3" s="46"/>
      <c r="O3" s="18"/>
      <c r="P3" s="46"/>
      <c r="Q3" s="18"/>
      <c r="R3" s="46"/>
      <c r="S3" s="28"/>
    </row>
    <row r="4" spans="1:20" ht="71.25" customHeight="1" x14ac:dyDescent="0.25">
      <c r="A4" s="85" t="s">
        <v>67</v>
      </c>
      <c r="B4" s="15" t="s">
        <v>375</v>
      </c>
      <c r="C4" s="16" t="s">
        <v>376</v>
      </c>
      <c r="D4" s="36" t="s">
        <v>228</v>
      </c>
      <c r="E4" s="47" t="str">
        <f>IF(ISBLANK(E$3), " ", VLOOKUP(E$3,'PCS Parameter Codes'!$A$1:$D$76,2,FALSE))</f>
        <v xml:space="preserve"> </v>
      </c>
      <c r="F4" s="48" t="str">
        <f>IF(ISBLANK(F$3), " ", VLOOKUP(F$3,'PCS Parameter Codes'!$A$1:$D$76,2,FALSE))</f>
        <v xml:space="preserve"> </v>
      </c>
      <c r="G4" s="47" t="str">
        <f>IF(ISBLANK(G$3), " ", VLOOKUP(G$3,'PCS Parameter Codes'!$A$1:$D$76,2,FALSE))</f>
        <v xml:space="preserve"> </v>
      </c>
      <c r="H4" s="48" t="str">
        <f>IF(ISBLANK(H$3), " ", VLOOKUP(H$3,'PCS Parameter Codes'!$A$1:$D$76,2,FALSE))</f>
        <v xml:space="preserve"> </v>
      </c>
      <c r="I4" s="47" t="str">
        <f>IF(ISBLANK(I$3), " ", VLOOKUP(I$3,'PCS Parameter Codes'!$A$1:$D$76,2,FALSE))</f>
        <v xml:space="preserve"> </v>
      </c>
      <c r="J4" s="48" t="str">
        <f>IF(ISBLANK(J$3), " ", VLOOKUP(J$3,'PCS Parameter Codes'!$A$1:$D$76,2,FALSE))</f>
        <v xml:space="preserve"> </v>
      </c>
      <c r="K4" s="47" t="str">
        <f>IF(ISBLANK(K$3), " ", VLOOKUP(K$3,'PCS Parameter Codes'!$A$1:$D$76,2,FALSE))</f>
        <v xml:space="preserve"> </v>
      </c>
      <c r="L4" s="48" t="str">
        <f>IF(ISBLANK(L$3), " ", VLOOKUP(L$3,'PCS Parameter Codes'!$A$1:$D$76,2,FALSE))</f>
        <v xml:space="preserve"> </v>
      </c>
      <c r="M4" s="47" t="str">
        <f>IF(ISBLANK(M$3), " ", VLOOKUP(M$3,'PCS Parameter Codes'!$A$1:$D$76,2,FALSE))</f>
        <v xml:space="preserve"> </v>
      </c>
      <c r="N4" s="48" t="str">
        <f>IF(ISBLANK(N$3), " ", VLOOKUP(N$3,'PCS Parameter Codes'!$A$1:$D$76,2,FALSE))</f>
        <v xml:space="preserve"> </v>
      </c>
      <c r="O4" s="47" t="str">
        <f>IF(ISBLANK(O$3), " ", VLOOKUP(O$3,'PCS Parameter Codes'!$A$1:$D$76,2,FALSE))</f>
        <v xml:space="preserve"> </v>
      </c>
      <c r="P4" s="48" t="str">
        <f>IF(ISBLANK(P$3), " ", VLOOKUP(P$3,'PCS Parameter Codes'!$A$1:$D$76,2,FALSE))</f>
        <v xml:space="preserve"> </v>
      </c>
      <c r="Q4" s="47" t="str">
        <f>IF(ISBLANK(Q$3), " ", VLOOKUP(Q$3,'PCS Parameter Codes'!$A$1:$D$76,2,FALSE))</f>
        <v xml:space="preserve"> </v>
      </c>
      <c r="R4" s="48" t="str">
        <f>IF(ISBLANK(R$3), " ", VLOOKUP(R$3,'PCS Parameter Codes'!$A$1:$D$76,2,FALSE))</f>
        <v xml:space="preserve"> </v>
      </c>
      <c r="S4" s="49" t="str">
        <f>IF(ISBLANK(S$3), " ", VLOOKUP(S$3,'PCS Parameter Codes'!$A$1:$D$76,2,FALSE))</f>
        <v xml:space="preserve"> </v>
      </c>
    </row>
    <row r="5" spans="1:20" ht="15.75" customHeight="1" thickBot="1" x14ac:dyDescent="0.3">
      <c r="A5" s="86"/>
      <c r="B5" s="17" t="s">
        <v>68</v>
      </c>
      <c r="C5" s="58" t="s">
        <v>64</v>
      </c>
      <c r="D5" s="59" t="s">
        <v>229</v>
      </c>
      <c r="E5" s="34" t="str">
        <f>IF(ISBLANK(E$3), " ", VLOOKUP(E$3,'PCS Parameter Codes'!$A$1:$D$76,4,FALSE))</f>
        <v xml:space="preserve"> </v>
      </c>
      <c r="F5" s="37" t="str">
        <f>IF(ISBLANK(F$3), " ", VLOOKUP(F$3,'PCS Parameter Codes'!$A$1:$D$76,4,FALSE))</f>
        <v xml:space="preserve"> </v>
      </c>
      <c r="G5" s="34" t="str">
        <f>IF(ISBLANK(G$3), " ", VLOOKUP(G$3,'PCS Parameter Codes'!$A$1:$D$76,4,FALSE))</f>
        <v xml:space="preserve"> </v>
      </c>
      <c r="H5" s="37" t="str">
        <f>IF(ISBLANK(H$3), " ", VLOOKUP(H$3,'PCS Parameter Codes'!$A$1:$D$76,4,FALSE))</f>
        <v xml:space="preserve"> </v>
      </c>
      <c r="I5" s="34" t="str">
        <f>IF(ISBLANK(I$3), " ", VLOOKUP(I$3,'PCS Parameter Codes'!$A$1:$D$76,4,FALSE))</f>
        <v xml:space="preserve"> </v>
      </c>
      <c r="J5" s="37" t="str">
        <f>IF(ISBLANK(J$3), " ", VLOOKUP(J$3,'PCS Parameter Codes'!$A$1:$D$76,4,FALSE))</f>
        <v xml:space="preserve"> </v>
      </c>
      <c r="K5" s="34" t="str">
        <f>IF(ISBLANK(K$3), " ", VLOOKUP(K$3,'PCS Parameter Codes'!$A$1:$D$76,4,FALSE))</f>
        <v xml:space="preserve"> </v>
      </c>
      <c r="L5" s="37" t="str">
        <f>IF(ISBLANK(L$3), " ", VLOOKUP(L$3,'PCS Parameter Codes'!$A$1:$D$76,4,FALSE))</f>
        <v xml:space="preserve"> </v>
      </c>
      <c r="M5" s="34" t="str">
        <f>IF(ISBLANK(M$3), " ", VLOOKUP(M$3,'PCS Parameter Codes'!$A$1:$D$76,4,FALSE))</f>
        <v xml:space="preserve"> </v>
      </c>
      <c r="N5" s="37" t="str">
        <f>IF(ISBLANK(N$3), " ", VLOOKUP(N$3,'PCS Parameter Codes'!$A$1:$D$76,4,FALSE))</f>
        <v xml:space="preserve"> </v>
      </c>
      <c r="O5" s="34" t="str">
        <f>IF(ISBLANK(O$3), " ", VLOOKUP(O$3,'PCS Parameter Codes'!$A$1:$D$76,4,FALSE))</f>
        <v xml:space="preserve"> </v>
      </c>
      <c r="P5" s="37" t="str">
        <f>IF(ISBLANK(P$3), " ", VLOOKUP(P$3,'PCS Parameter Codes'!$A$1:$D$76,4,FALSE))</f>
        <v xml:space="preserve"> </v>
      </c>
      <c r="Q5" s="34" t="str">
        <f>IF(ISBLANK(Q$3), " ", VLOOKUP(Q$3,'PCS Parameter Codes'!$A$1:$D$76,4,FALSE))</f>
        <v xml:space="preserve"> </v>
      </c>
      <c r="R5" s="37" t="str">
        <f>IF(ISBLANK(R$3), " ", VLOOKUP(R$3,'PCS Parameter Codes'!$A$1:$D$76,4,FALSE))</f>
        <v xml:space="preserve"> </v>
      </c>
      <c r="S5" s="35" t="str">
        <f>IF(ISBLANK(S$3), " ", VLOOKUP(S$3,'PCS Parameter Codes'!$A$1:$D$76,4,FALSE))</f>
        <v xml:space="preserve"> </v>
      </c>
    </row>
    <row r="6" spans="1:20" ht="15" customHeight="1" x14ac:dyDescent="0.25">
      <c r="A6" s="19">
        <v>1</v>
      </c>
      <c r="B6" s="5"/>
      <c r="C6" s="6"/>
      <c r="D6" s="7"/>
      <c r="E6" s="50"/>
      <c r="F6" s="51"/>
      <c r="G6" s="50"/>
      <c r="H6" s="51"/>
      <c r="I6" s="50"/>
      <c r="J6" s="51"/>
      <c r="K6" s="50"/>
      <c r="L6" s="51"/>
      <c r="M6" s="50"/>
      <c r="N6" s="51"/>
      <c r="O6" s="50"/>
      <c r="P6" s="51"/>
      <c r="Q6" s="50"/>
      <c r="R6" s="51"/>
      <c r="S6" s="52"/>
    </row>
    <row r="7" spans="1:20" ht="15" customHeight="1" x14ac:dyDescent="0.25">
      <c r="A7" s="19">
        <v>2</v>
      </c>
      <c r="B7" s="5"/>
      <c r="C7" s="6"/>
      <c r="D7" s="8"/>
      <c r="E7" s="6"/>
      <c r="F7" s="53"/>
      <c r="G7" s="6"/>
      <c r="H7" s="53"/>
      <c r="I7" s="6"/>
      <c r="J7" s="53"/>
      <c r="K7" s="6"/>
      <c r="L7" s="53"/>
      <c r="M7" s="6"/>
      <c r="N7" s="53"/>
      <c r="O7" s="6"/>
      <c r="P7" s="53"/>
      <c r="Q7" s="6"/>
      <c r="R7" s="53"/>
      <c r="S7" s="54"/>
    </row>
    <row r="8" spans="1:20" ht="15" customHeight="1" x14ac:dyDescent="0.25">
      <c r="A8" s="19">
        <v>3</v>
      </c>
      <c r="B8" s="5"/>
      <c r="C8" s="6"/>
      <c r="D8" s="8"/>
      <c r="E8" s="6"/>
      <c r="F8" s="53"/>
      <c r="G8" s="6"/>
      <c r="H8" s="53"/>
      <c r="I8" s="6"/>
      <c r="J8" s="53"/>
      <c r="K8" s="6"/>
      <c r="L8" s="53"/>
      <c r="M8" s="6"/>
      <c r="N8" s="53"/>
      <c r="O8" s="6"/>
      <c r="P8" s="53"/>
      <c r="Q8" s="6"/>
      <c r="R8" s="53"/>
      <c r="S8" s="54"/>
    </row>
    <row r="9" spans="1:20" ht="15" customHeight="1" x14ac:dyDescent="0.25">
      <c r="A9" s="19">
        <v>4</v>
      </c>
      <c r="B9" s="5"/>
      <c r="C9" s="6"/>
      <c r="D9" s="8"/>
      <c r="E9" s="6"/>
      <c r="F9" s="53"/>
      <c r="G9" s="6"/>
      <c r="H9" s="53"/>
      <c r="I9" s="6"/>
      <c r="J9" s="53"/>
      <c r="K9" s="6"/>
      <c r="L9" s="53"/>
      <c r="M9" s="6"/>
      <c r="N9" s="53"/>
      <c r="O9" s="6"/>
      <c r="P9" s="53"/>
      <c r="Q9" s="6"/>
      <c r="R9" s="53"/>
      <c r="S9" s="54"/>
    </row>
    <row r="10" spans="1:20" ht="15" customHeight="1" x14ac:dyDescent="0.25">
      <c r="A10" s="19">
        <v>5</v>
      </c>
      <c r="B10" s="5"/>
      <c r="C10" s="6"/>
      <c r="D10" s="8"/>
      <c r="E10" s="6"/>
      <c r="F10" s="53"/>
      <c r="G10" s="6"/>
      <c r="H10" s="53"/>
      <c r="I10" s="6"/>
      <c r="J10" s="53"/>
      <c r="K10" s="6"/>
      <c r="L10" s="53"/>
      <c r="M10" s="6"/>
      <c r="N10" s="53"/>
      <c r="O10" s="6"/>
      <c r="P10" s="53"/>
      <c r="Q10" s="6"/>
      <c r="R10" s="53"/>
      <c r="S10" s="54"/>
    </row>
    <row r="11" spans="1:20" ht="15" customHeight="1" x14ac:dyDescent="0.25">
      <c r="A11" s="19">
        <v>6</v>
      </c>
      <c r="B11" s="5"/>
      <c r="C11" s="6"/>
      <c r="D11" s="8"/>
      <c r="E11" s="6"/>
      <c r="F11" s="53"/>
      <c r="G11" s="6"/>
      <c r="H11" s="53"/>
      <c r="I11" s="6"/>
      <c r="J11" s="53"/>
      <c r="K11" s="6"/>
      <c r="L11" s="53"/>
      <c r="M11" s="6"/>
      <c r="N11" s="53"/>
      <c r="O11" s="6"/>
      <c r="P11" s="53"/>
      <c r="Q11" s="6"/>
      <c r="R11" s="53"/>
      <c r="S11" s="54"/>
    </row>
    <row r="12" spans="1:20" ht="15" customHeight="1" x14ac:dyDescent="0.25">
      <c r="A12" s="19">
        <v>7</v>
      </c>
      <c r="B12" s="5"/>
      <c r="C12" s="6"/>
      <c r="D12" s="8"/>
      <c r="E12" s="6"/>
      <c r="F12" s="53"/>
      <c r="G12" s="6"/>
      <c r="H12" s="53"/>
      <c r="I12" s="6"/>
      <c r="J12" s="53"/>
      <c r="K12" s="6"/>
      <c r="L12" s="53"/>
      <c r="M12" s="6"/>
      <c r="N12" s="53"/>
      <c r="O12" s="6"/>
      <c r="P12" s="53"/>
      <c r="Q12" s="6"/>
      <c r="R12" s="53"/>
      <c r="S12" s="54"/>
    </row>
    <row r="13" spans="1:20" ht="15" customHeight="1" x14ac:dyDescent="0.25">
      <c r="A13" s="19">
        <v>8</v>
      </c>
      <c r="B13" s="5"/>
      <c r="C13" s="6"/>
      <c r="D13" s="8"/>
      <c r="E13" s="6"/>
      <c r="F13" s="53"/>
      <c r="G13" s="6"/>
      <c r="H13" s="53"/>
      <c r="I13" s="6"/>
      <c r="J13" s="53"/>
      <c r="K13" s="6"/>
      <c r="L13" s="53"/>
      <c r="M13" s="6"/>
      <c r="N13" s="53"/>
      <c r="O13" s="6"/>
      <c r="P13" s="53"/>
      <c r="Q13" s="6"/>
      <c r="R13" s="53"/>
      <c r="S13" s="54"/>
    </row>
    <row r="14" spans="1:20" ht="15" customHeight="1" x14ac:dyDescent="0.25">
      <c r="A14" s="19">
        <v>9</v>
      </c>
      <c r="B14" s="5"/>
      <c r="C14" s="6"/>
      <c r="D14" s="8"/>
      <c r="E14" s="6"/>
      <c r="F14" s="53"/>
      <c r="G14" s="6"/>
      <c r="H14" s="53"/>
      <c r="I14" s="6"/>
      <c r="J14" s="53"/>
      <c r="K14" s="6"/>
      <c r="L14" s="53"/>
      <c r="M14" s="6"/>
      <c r="N14" s="53"/>
      <c r="O14" s="6"/>
      <c r="P14" s="53"/>
      <c r="Q14" s="6"/>
      <c r="R14" s="53"/>
      <c r="S14" s="54"/>
    </row>
    <row r="15" spans="1:20" ht="15" customHeight="1" x14ac:dyDescent="0.25">
      <c r="A15" s="19">
        <v>10</v>
      </c>
      <c r="B15" s="5"/>
      <c r="C15" s="6"/>
      <c r="D15" s="8"/>
      <c r="E15" s="6"/>
      <c r="F15" s="53"/>
      <c r="G15" s="6"/>
      <c r="H15" s="53"/>
      <c r="I15" s="6"/>
      <c r="J15" s="53"/>
      <c r="K15" s="6"/>
      <c r="L15" s="53"/>
      <c r="M15" s="6"/>
      <c r="N15" s="53"/>
      <c r="O15" s="6"/>
      <c r="P15" s="53"/>
      <c r="Q15" s="6"/>
      <c r="R15" s="53"/>
      <c r="S15" s="54"/>
    </row>
    <row r="16" spans="1:20" ht="15" customHeight="1" x14ac:dyDescent="0.25">
      <c r="A16" s="19">
        <v>11</v>
      </c>
      <c r="B16" s="5"/>
      <c r="C16" s="6"/>
      <c r="D16" s="8"/>
      <c r="E16" s="6"/>
      <c r="F16" s="53"/>
      <c r="G16" s="6"/>
      <c r="H16" s="53"/>
      <c r="I16" s="6"/>
      <c r="J16" s="53"/>
      <c r="K16" s="6"/>
      <c r="L16" s="53"/>
      <c r="M16" s="6"/>
      <c r="N16" s="53"/>
      <c r="O16" s="6"/>
      <c r="P16" s="53"/>
      <c r="Q16" s="6"/>
      <c r="R16" s="53"/>
      <c r="S16" s="54"/>
    </row>
    <row r="17" spans="1:19" ht="15" customHeight="1" x14ac:dyDescent="0.25">
      <c r="A17" s="19">
        <v>12</v>
      </c>
      <c r="B17" s="5"/>
      <c r="C17" s="6"/>
      <c r="D17" s="8"/>
      <c r="E17" s="6"/>
      <c r="F17" s="53"/>
      <c r="G17" s="6"/>
      <c r="H17" s="53"/>
      <c r="I17" s="6"/>
      <c r="J17" s="53"/>
      <c r="K17" s="6"/>
      <c r="L17" s="53"/>
      <c r="M17" s="6"/>
      <c r="N17" s="53"/>
      <c r="O17" s="6"/>
      <c r="P17" s="53"/>
      <c r="Q17" s="6"/>
      <c r="R17" s="53"/>
      <c r="S17" s="54"/>
    </row>
    <row r="18" spans="1:19" ht="15" customHeight="1" x14ac:dyDescent="0.25">
      <c r="A18" s="19">
        <v>13</v>
      </c>
      <c r="B18" s="5"/>
      <c r="C18" s="6"/>
      <c r="D18" s="8"/>
      <c r="E18" s="6"/>
      <c r="F18" s="53"/>
      <c r="G18" s="6"/>
      <c r="H18" s="53"/>
      <c r="I18" s="6"/>
      <c r="J18" s="53"/>
      <c r="K18" s="6"/>
      <c r="L18" s="53"/>
      <c r="M18" s="6"/>
      <c r="N18" s="53"/>
      <c r="O18" s="6"/>
      <c r="P18" s="53"/>
      <c r="Q18" s="6"/>
      <c r="R18" s="53"/>
      <c r="S18" s="54"/>
    </row>
    <row r="19" spans="1:19" ht="15" customHeight="1" x14ac:dyDescent="0.25">
      <c r="A19" s="19">
        <v>14</v>
      </c>
      <c r="B19" s="5"/>
      <c r="C19" s="6"/>
      <c r="D19" s="8"/>
      <c r="E19" s="6"/>
      <c r="F19" s="53"/>
      <c r="G19" s="6"/>
      <c r="H19" s="53"/>
      <c r="I19" s="6"/>
      <c r="J19" s="53"/>
      <c r="K19" s="6"/>
      <c r="L19" s="53"/>
      <c r="M19" s="6"/>
      <c r="N19" s="53"/>
      <c r="O19" s="6"/>
      <c r="P19" s="53"/>
      <c r="Q19" s="6"/>
      <c r="R19" s="53"/>
      <c r="S19" s="54"/>
    </row>
    <row r="20" spans="1:19" ht="15" customHeight="1" x14ac:dyDescent="0.25">
      <c r="A20" s="19">
        <v>15</v>
      </c>
      <c r="B20" s="5"/>
      <c r="C20" s="6"/>
      <c r="D20" s="8"/>
      <c r="E20" s="6"/>
      <c r="F20" s="53"/>
      <c r="G20" s="6"/>
      <c r="H20" s="53"/>
      <c r="I20" s="6"/>
      <c r="J20" s="53"/>
      <c r="K20" s="6"/>
      <c r="L20" s="53"/>
      <c r="M20" s="6"/>
      <c r="N20" s="53"/>
      <c r="O20" s="6"/>
      <c r="P20" s="53"/>
      <c r="Q20" s="6"/>
      <c r="R20" s="53"/>
      <c r="S20" s="54"/>
    </row>
    <row r="21" spans="1:19" ht="15" customHeight="1" x14ac:dyDescent="0.25">
      <c r="A21" s="19">
        <v>16</v>
      </c>
      <c r="B21" s="5"/>
      <c r="C21" s="6"/>
      <c r="D21" s="8"/>
      <c r="E21" s="6"/>
      <c r="F21" s="53"/>
      <c r="G21" s="6"/>
      <c r="H21" s="53"/>
      <c r="I21" s="6"/>
      <c r="J21" s="53"/>
      <c r="K21" s="6"/>
      <c r="L21" s="53"/>
      <c r="M21" s="6"/>
      <c r="N21" s="53"/>
      <c r="O21" s="6"/>
      <c r="P21" s="53"/>
      <c r="Q21" s="6"/>
      <c r="R21" s="53"/>
      <c r="S21" s="54"/>
    </row>
    <row r="22" spans="1:19" ht="15" customHeight="1" x14ac:dyDescent="0.25">
      <c r="A22" s="19">
        <v>17</v>
      </c>
      <c r="B22" s="5"/>
      <c r="C22" s="6"/>
      <c r="D22" s="8"/>
      <c r="E22" s="6"/>
      <c r="F22" s="53"/>
      <c r="G22" s="6"/>
      <c r="H22" s="53"/>
      <c r="I22" s="6"/>
      <c r="J22" s="53"/>
      <c r="K22" s="6"/>
      <c r="L22" s="53"/>
      <c r="M22" s="6"/>
      <c r="N22" s="53"/>
      <c r="O22" s="6"/>
      <c r="P22" s="53"/>
      <c r="Q22" s="6"/>
      <c r="R22" s="53"/>
      <c r="S22" s="54"/>
    </row>
    <row r="23" spans="1:19" ht="15" customHeight="1" x14ac:dyDescent="0.25">
      <c r="A23" s="19">
        <v>18</v>
      </c>
      <c r="B23" s="5"/>
      <c r="C23" s="6"/>
      <c r="D23" s="8"/>
      <c r="E23" s="6"/>
      <c r="F23" s="53"/>
      <c r="G23" s="6"/>
      <c r="H23" s="53"/>
      <c r="I23" s="6"/>
      <c r="J23" s="53"/>
      <c r="K23" s="6"/>
      <c r="L23" s="53"/>
      <c r="M23" s="6"/>
      <c r="N23" s="53"/>
      <c r="O23" s="6"/>
      <c r="P23" s="53"/>
      <c r="Q23" s="6"/>
      <c r="R23" s="53"/>
      <c r="S23" s="54"/>
    </row>
    <row r="24" spans="1:19" ht="15" customHeight="1" x14ac:dyDescent="0.25">
      <c r="A24" s="19">
        <v>19</v>
      </c>
      <c r="B24" s="5"/>
      <c r="C24" s="6"/>
      <c r="D24" s="8"/>
      <c r="E24" s="6"/>
      <c r="F24" s="53"/>
      <c r="G24" s="6"/>
      <c r="H24" s="53"/>
      <c r="I24" s="6"/>
      <c r="J24" s="53"/>
      <c r="K24" s="6"/>
      <c r="L24" s="53"/>
      <c r="M24" s="6"/>
      <c r="N24" s="53"/>
      <c r="O24" s="6"/>
      <c r="P24" s="53"/>
      <c r="Q24" s="6"/>
      <c r="R24" s="53"/>
      <c r="S24" s="54"/>
    </row>
    <row r="25" spans="1:19" ht="15" customHeight="1" x14ac:dyDescent="0.25">
      <c r="A25" s="19">
        <v>20</v>
      </c>
      <c r="B25" s="5"/>
      <c r="C25" s="6"/>
      <c r="D25" s="8"/>
      <c r="E25" s="6"/>
      <c r="F25" s="53"/>
      <c r="G25" s="6"/>
      <c r="H25" s="53"/>
      <c r="I25" s="6"/>
      <c r="J25" s="53"/>
      <c r="K25" s="6"/>
      <c r="L25" s="53"/>
      <c r="M25" s="6"/>
      <c r="N25" s="53"/>
      <c r="O25" s="6"/>
      <c r="P25" s="53"/>
      <c r="Q25" s="6"/>
      <c r="R25" s="53"/>
      <c r="S25" s="54"/>
    </row>
    <row r="26" spans="1:19" ht="15" customHeight="1" x14ac:dyDescent="0.25">
      <c r="A26" s="19">
        <v>21</v>
      </c>
      <c r="B26" s="5"/>
      <c r="C26" s="6"/>
      <c r="D26" s="8"/>
      <c r="E26" s="6"/>
      <c r="F26" s="53"/>
      <c r="G26" s="6"/>
      <c r="H26" s="53"/>
      <c r="I26" s="6"/>
      <c r="J26" s="53"/>
      <c r="K26" s="6"/>
      <c r="L26" s="53"/>
      <c r="M26" s="6"/>
      <c r="N26" s="53"/>
      <c r="O26" s="6"/>
      <c r="P26" s="53"/>
      <c r="Q26" s="6"/>
      <c r="R26" s="53"/>
      <c r="S26" s="54"/>
    </row>
    <row r="27" spans="1:19" ht="15" customHeight="1" x14ac:dyDescent="0.25">
      <c r="A27" s="19">
        <v>22</v>
      </c>
      <c r="B27" s="5"/>
      <c r="C27" s="6"/>
      <c r="D27" s="8"/>
      <c r="E27" s="6"/>
      <c r="F27" s="53"/>
      <c r="G27" s="6"/>
      <c r="H27" s="53"/>
      <c r="I27" s="6"/>
      <c r="J27" s="53"/>
      <c r="K27" s="6"/>
      <c r="L27" s="53"/>
      <c r="M27" s="6"/>
      <c r="N27" s="53"/>
      <c r="O27" s="6"/>
      <c r="P27" s="53"/>
      <c r="Q27" s="6"/>
      <c r="R27" s="53"/>
      <c r="S27" s="54"/>
    </row>
    <row r="28" spans="1:19" ht="15" customHeight="1" x14ac:dyDescent="0.25">
      <c r="A28" s="19">
        <v>23</v>
      </c>
      <c r="B28" s="5"/>
      <c r="C28" s="6"/>
      <c r="D28" s="8"/>
      <c r="E28" s="6"/>
      <c r="F28" s="53"/>
      <c r="G28" s="6"/>
      <c r="H28" s="53"/>
      <c r="I28" s="6"/>
      <c r="J28" s="53"/>
      <c r="K28" s="6"/>
      <c r="L28" s="53"/>
      <c r="M28" s="6"/>
      <c r="N28" s="53"/>
      <c r="O28" s="6"/>
      <c r="P28" s="53"/>
      <c r="Q28" s="6"/>
      <c r="R28" s="53"/>
      <c r="S28" s="54"/>
    </row>
    <row r="29" spans="1:19" ht="15" customHeight="1" x14ac:dyDescent="0.25">
      <c r="A29" s="19">
        <v>24</v>
      </c>
      <c r="B29" s="5"/>
      <c r="C29" s="6"/>
      <c r="D29" s="8"/>
      <c r="E29" s="6"/>
      <c r="F29" s="53"/>
      <c r="G29" s="6"/>
      <c r="H29" s="53"/>
      <c r="I29" s="6"/>
      <c r="J29" s="53"/>
      <c r="K29" s="6"/>
      <c r="L29" s="53"/>
      <c r="M29" s="6"/>
      <c r="N29" s="53"/>
      <c r="O29" s="6"/>
      <c r="P29" s="53"/>
      <c r="Q29" s="6"/>
      <c r="R29" s="53"/>
      <c r="S29" s="54"/>
    </row>
    <row r="30" spans="1:19" ht="15" customHeight="1" x14ac:dyDescent="0.25">
      <c r="A30" s="19">
        <v>25</v>
      </c>
      <c r="B30" s="5"/>
      <c r="C30" s="6"/>
      <c r="D30" s="8"/>
      <c r="E30" s="6"/>
      <c r="F30" s="53"/>
      <c r="G30" s="6"/>
      <c r="H30" s="53"/>
      <c r="I30" s="6"/>
      <c r="J30" s="53"/>
      <c r="K30" s="6"/>
      <c r="L30" s="53"/>
      <c r="M30" s="6"/>
      <c r="N30" s="53"/>
      <c r="O30" s="6"/>
      <c r="P30" s="53"/>
      <c r="Q30" s="6"/>
      <c r="R30" s="53"/>
      <c r="S30" s="54"/>
    </row>
    <row r="31" spans="1:19" ht="15" customHeight="1" x14ac:dyDescent="0.25">
      <c r="A31" s="19">
        <v>26</v>
      </c>
      <c r="B31" s="5"/>
      <c r="C31" s="6"/>
      <c r="D31" s="8"/>
      <c r="E31" s="6"/>
      <c r="F31" s="53"/>
      <c r="G31" s="6"/>
      <c r="H31" s="53"/>
      <c r="I31" s="6"/>
      <c r="J31" s="53"/>
      <c r="K31" s="6"/>
      <c r="L31" s="53"/>
      <c r="M31" s="6"/>
      <c r="N31" s="53"/>
      <c r="O31" s="6"/>
      <c r="P31" s="53"/>
      <c r="Q31" s="6"/>
      <c r="R31" s="53"/>
      <c r="S31" s="54"/>
    </row>
    <row r="32" spans="1:19" ht="15" customHeight="1" x14ac:dyDescent="0.25">
      <c r="A32" s="19">
        <v>27</v>
      </c>
      <c r="B32" s="5"/>
      <c r="C32" s="6"/>
      <c r="D32" s="8"/>
      <c r="E32" s="6"/>
      <c r="F32" s="53"/>
      <c r="G32" s="6"/>
      <c r="H32" s="53"/>
      <c r="I32" s="6"/>
      <c r="J32" s="53"/>
      <c r="K32" s="6"/>
      <c r="L32" s="53"/>
      <c r="M32" s="6"/>
      <c r="N32" s="53"/>
      <c r="O32" s="6"/>
      <c r="P32" s="53"/>
      <c r="Q32" s="6"/>
      <c r="R32" s="53"/>
      <c r="S32" s="54"/>
    </row>
    <row r="33" spans="1:19" ht="15" customHeight="1" x14ac:dyDescent="0.25">
      <c r="A33" s="19">
        <v>28</v>
      </c>
      <c r="B33" s="5"/>
      <c r="C33" s="6"/>
      <c r="D33" s="8"/>
      <c r="E33" s="6"/>
      <c r="F33" s="53"/>
      <c r="G33" s="6"/>
      <c r="H33" s="53"/>
      <c r="I33" s="6"/>
      <c r="J33" s="53"/>
      <c r="K33" s="6"/>
      <c r="L33" s="53"/>
      <c r="M33" s="6"/>
      <c r="N33" s="53"/>
      <c r="O33" s="6"/>
      <c r="P33" s="53"/>
      <c r="Q33" s="6"/>
      <c r="R33" s="53"/>
      <c r="S33" s="54"/>
    </row>
    <row r="34" spans="1:19" ht="15" customHeight="1" x14ac:dyDescent="0.25">
      <c r="A34" s="19">
        <v>29</v>
      </c>
      <c r="B34" s="5"/>
      <c r="C34" s="6"/>
      <c r="D34" s="8"/>
      <c r="E34" s="6"/>
      <c r="F34" s="53"/>
      <c r="G34" s="6"/>
      <c r="H34" s="53"/>
      <c r="I34" s="6"/>
      <c r="J34" s="53"/>
      <c r="K34" s="6"/>
      <c r="L34" s="53"/>
      <c r="M34" s="6"/>
      <c r="N34" s="53"/>
      <c r="O34" s="6"/>
      <c r="P34" s="53"/>
      <c r="Q34" s="6"/>
      <c r="R34" s="53"/>
      <c r="S34" s="54"/>
    </row>
    <row r="35" spans="1:19" ht="15" customHeight="1" x14ac:dyDescent="0.25">
      <c r="A35" s="19">
        <v>30</v>
      </c>
      <c r="B35" s="5"/>
      <c r="C35" s="6"/>
      <c r="D35" s="8"/>
      <c r="E35" s="6"/>
      <c r="F35" s="53"/>
      <c r="G35" s="6"/>
      <c r="H35" s="53"/>
      <c r="I35" s="6"/>
      <c r="J35" s="53"/>
      <c r="K35" s="6"/>
      <c r="L35" s="53"/>
      <c r="M35" s="6"/>
      <c r="N35" s="53"/>
      <c r="O35" s="6"/>
      <c r="P35" s="53"/>
      <c r="Q35" s="6"/>
      <c r="R35" s="53"/>
      <c r="S35" s="54"/>
    </row>
    <row r="36" spans="1:19" ht="15" customHeight="1" thickBot="1" x14ac:dyDescent="0.3">
      <c r="A36" s="19">
        <v>31</v>
      </c>
      <c r="B36" s="5"/>
      <c r="C36" s="6"/>
      <c r="D36" s="9"/>
      <c r="E36" s="55"/>
      <c r="F36" s="56"/>
      <c r="G36" s="55"/>
      <c r="H36" s="56"/>
      <c r="I36" s="55"/>
      <c r="J36" s="56"/>
      <c r="K36" s="55"/>
      <c r="L36" s="56"/>
      <c r="M36" s="55"/>
      <c r="N36" s="56"/>
      <c r="O36" s="55"/>
      <c r="P36" s="56"/>
      <c r="Q36" s="55"/>
      <c r="R36" s="56"/>
      <c r="S36" s="57"/>
    </row>
    <row r="37" spans="1:19" ht="15" customHeight="1" x14ac:dyDescent="0.25">
      <c r="A37" s="82" t="s">
        <v>69</v>
      </c>
      <c r="B37" s="83"/>
      <c r="C37" s="84"/>
      <c r="D37" s="20" t="str">
        <f>IF(ISBLANK($P$1)," ",AVERAGE(D6:D36))</f>
        <v xml:space="preserve"> </v>
      </c>
      <c r="E37" s="70" t="str">
        <f>IF(ISBLANK($C$1)," ", IF(COUNT(E45:E75)=0, " ", IF(E$4="pH"," ", IF(E$4="Fecal Coliform", GEOMEAN(E76:E106), IF(E$4="Total Coliform", GEOMEAN(E76:E106), AVERAGE(E45:E75))))))</f>
        <v xml:space="preserve"> </v>
      </c>
      <c r="F37" s="71" t="str">
        <f>IF(ISBLANK($C$1)," ", IF(COUNT(F45:F75)=0, " ", IF(F$4="pH"," ", IF(F$4="Fecal Coliform", GEOMEAN(F76:F106), IF(F$4="Total Coliform", GEOMEAN(F76:F106), AVERAGE(F45:F75))))))</f>
        <v xml:space="preserve"> </v>
      </c>
      <c r="G37" s="70" t="str">
        <f>IF(ISBLANK($C$1)," ", IF(COUNT(G45:G75)=0, " ", IF(G$4="pH"," ", IF(G$4="Fecal Coliform", GEOMEAN(G76:G106), IF(G$4="Total Coliform", GEOMEAN(G76:G106), AVERAGE(G45:G75))))))</f>
        <v xml:space="preserve"> </v>
      </c>
      <c r="H37" s="71" t="str">
        <f>IF(ISBLANK($C$1)," ", IF(COUNT(H45:H75)=0, " ", IF(H$4="pH"," ", IF(H$4="Fecal Coliform", GEOMEAN(H76:H106), IF(H$4="Total Coliform", GEOMEAN(H76:H106), AVERAGE(H45:H75))))))</f>
        <v xml:space="preserve"> </v>
      </c>
      <c r="I37" s="70" t="str">
        <f t="shared" ref="I37:S37" si="0">IF(ISBLANK($C$1)," ", IF(COUNT(I45:I75)=0, " ", IF(I$4="pH"," ", IF(I$4="Fecal Coliform", GEOMEAN(I76:I106), IF(I$4="Total Coliform", GEOMEAN(I76:I106), AVERAGE(I45:I75))))))</f>
        <v xml:space="preserve"> </v>
      </c>
      <c r="J37" s="71" t="str">
        <f t="shared" si="0"/>
        <v xml:space="preserve"> </v>
      </c>
      <c r="K37" s="70" t="str">
        <f t="shared" si="0"/>
        <v xml:space="preserve"> </v>
      </c>
      <c r="L37" s="71" t="str">
        <f t="shared" si="0"/>
        <v xml:space="preserve"> </v>
      </c>
      <c r="M37" s="70" t="str">
        <f t="shared" si="0"/>
        <v xml:space="preserve"> </v>
      </c>
      <c r="N37" s="71" t="str">
        <f t="shared" si="0"/>
        <v xml:space="preserve"> </v>
      </c>
      <c r="O37" s="70" t="str">
        <f t="shared" si="0"/>
        <v xml:space="preserve"> </v>
      </c>
      <c r="P37" s="71" t="str">
        <f t="shared" si="0"/>
        <v xml:space="preserve"> </v>
      </c>
      <c r="Q37" s="70" t="str">
        <f t="shared" si="0"/>
        <v xml:space="preserve"> </v>
      </c>
      <c r="R37" s="71" t="str">
        <f t="shared" si="0"/>
        <v xml:space="preserve"> </v>
      </c>
      <c r="S37" s="72" t="str">
        <f t="shared" si="0"/>
        <v xml:space="preserve"> </v>
      </c>
    </row>
    <row r="38" spans="1:19" ht="15" customHeight="1" x14ac:dyDescent="0.25">
      <c r="A38" s="93" t="s">
        <v>70</v>
      </c>
      <c r="B38" s="94"/>
      <c r="C38" s="95"/>
      <c r="D38" s="21" t="str">
        <f>IF(ISBLANK($P$1)," ",MAX(D6:D36))</f>
        <v xml:space="preserve"> </v>
      </c>
      <c r="E38" s="29" t="str">
        <f>IF(ISBLANK($C$1)," ", IF(COUNT(E45:E75)=0, " ",  MAX(E107:E137)))</f>
        <v xml:space="preserve"> </v>
      </c>
      <c r="F38" s="73" t="str">
        <f>IF(ISBLANK($C$1)," ", IF(COUNT(F45:F75)=0, " ",  MAX(F107:F137)))</f>
        <v xml:space="preserve"> </v>
      </c>
      <c r="G38" s="29" t="str">
        <f>IF(ISBLANK($C$1)," ", IF(COUNT(G45:G75)=0, " ",  MAX(G107:G137)))</f>
        <v xml:space="preserve"> </v>
      </c>
      <c r="H38" s="73" t="str">
        <f>IF(ISBLANK($C$1)," ", IF(COUNT(H45:H75)=0, " ",  MAX(H107:H137)))</f>
        <v xml:space="preserve"> </v>
      </c>
      <c r="I38" s="29" t="str">
        <f t="shared" ref="I38:S38" si="1">IF(ISBLANK($C$1)," ", IF(COUNT(I45:I75)=0, " ",  MAX(I107:I137)))</f>
        <v xml:space="preserve"> </v>
      </c>
      <c r="J38" s="73" t="str">
        <f t="shared" si="1"/>
        <v xml:space="preserve"> </v>
      </c>
      <c r="K38" s="29" t="str">
        <f t="shared" si="1"/>
        <v xml:space="preserve"> </v>
      </c>
      <c r="L38" s="73" t="str">
        <f t="shared" si="1"/>
        <v xml:space="preserve"> </v>
      </c>
      <c r="M38" s="29" t="str">
        <f t="shared" si="1"/>
        <v xml:space="preserve"> </v>
      </c>
      <c r="N38" s="73" t="str">
        <f t="shared" si="1"/>
        <v xml:space="preserve"> </v>
      </c>
      <c r="O38" s="29" t="str">
        <f t="shared" si="1"/>
        <v xml:space="preserve"> </v>
      </c>
      <c r="P38" s="73" t="str">
        <f t="shared" si="1"/>
        <v xml:space="preserve"> </v>
      </c>
      <c r="Q38" s="29" t="str">
        <f t="shared" si="1"/>
        <v xml:space="preserve"> </v>
      </c>
      <c r="R38" s="73" t="str">
        <f t="shared" si="1"/>
        <v xml:space="preserve"> </v>
      </c>
      <c r="S38" s="30" t="str">
        <f t="shared" si="1"/>
        <v xml:space="preserve"> </v>
      </c>
    </row>
    <row r="39" spans="1:19" ht="15" customHeight="1" thickBot="1" x14ac:dyDescent="0.3">
      <c r="A39" s="96" t="s">
        <v>71</v>
      </c>
      <c r="B39" s="97"/>
      <c r="C39" s="98"/>
      <c r="D39" s="22" t="str">
        <f>IF(ISBLANK($P$1)," ",MIN(D6:D36))</f>
        <v xml:space="preserve"> </v>
      </c>
      <c r="E39" s="31" t="str">
        <f>IF(ISBLANK($C$1)," ", IF(COUNT(E45:E75)=0, " ",  MIN(E107:E137)))</f>
        <v xml:space="preserve"> </v>
      </c>
      <c r="F39" s="74" t="str">
        <f>IF(ISBLANK($C$1)," ", IF(COUNT(F45:F75)=0, " ",  MIN(F107:F137)))</f>
        <v xml:space="preserve"> </v>
      </c>
      <c r="G39" s="31" t="str">
        <f>IF(ISBLANK($C$1)," ", IF(COUNT(G45:G75)=0, " ",  MIN(G107:G137)))</f>
        <v xml:space="preserve"> </v>
      </c>
      <c r="H39" s="74" t="str">
        <f>IF(ISBLANK($C$1)," ", IF(COUNT(H45:H75)=0, " ",  MIN(H107:H137)))</f>
        <v xml:space="preserve"> </v>
      </c>
      <c r="I39" s="31" t="str">
        <f t="shared" ref="I39:S39" si="2">IF(ISBLANK($C$1)," ", IF(COUNT(I45:I75)=0, " ",  MIN(I107:I137)))</f>
        <v xml:space="preserve"> </v>
      </c>
      <c r="J39" s="74" t="str">
        <f t="shared" si="2"/>
        <v xml:space="preserve"> </v>
      </c>
      <c r="K39" s="31" t="str">
        <f t="shared" si="2"/>
        <v xml:space="preserve"> </v>
      </c>
      <c r="L39" s="74" t="str">
        <f t="shared" si="2"/>
        <v xml:space="preserve"> </v>
      </c>
      <c r="M39" s="31" t="str">
        <f t="shared" si="2"/>
        <v xml:space="preserve"> </v>
      </c>
      <c r="N39" s="74" t="str">
        <f t="shared" si="2"/>
        <v xml:space="preserve"> </v>
      </c>
      <c r="O39" s="31" t="str">
        <f t="shared" si="2"/>
        <v xml:space="preserve"> </v>
      </c>
      <c r="P39" s="74" t="str">
        <f t="shared" si="2"/>
        <v xml:space="preserve"> </v>
      </c>
      <c r="Q39" s="31" t="str">
        <f t="shared" si="2"/>
        <v xml:space="preserve"> </v>
      </c>
      <c r="R39" s="74" t="str">
        <f t="shared" si="2"/>
        <v xml:space="preserve"> </v>
      </c>
      <c r="S39" s="32" t="str">
        <f t="shared" si="2"/>
        <v xml:space="preserve"> </v>
      </c>
    </row>
    <row r="40" spans="1:19" ht="15" customHeight="1" x14ac:dyDescent="0.25">
      <c r="A40" s="90" t="s">
        <v>359</v>
      </c>
      <c r="B40" s="91"/>
      <c r="C40" s="92"/>
      <c r="D40" s="64"/>
      <c r="E40" s="61"/>
      <c r="F40" s="60"/>
      <c r="G40" s="61"/>
      <c r="H40" s="60"/>
      <c r="I40" s="61"/>
      <c r="J40" s="60"/>
      <c r="K40" s="61"/>
      <c r="L40" s="60"/>
      <c r="M40" s="61"/>
      <c r="N40" s="60"/>
      <c r="O40" s="61"/>
      <c r="P40" s="60"/>
      <c r="Q40" s="61"/>
      <c r="R40" s="60"/>
      <c r="S40" s="62"/>
    </row>
    <row r="41" spans="1:19" ht="15" customHeight="1" x14ac:dyDescent="0.25">
      <c r="A41" s="87" t="s">
        <v>391</v>
      </c>
      <c r="B41" s="88"/>
      <c r="C41" s="89"/>
      <c r="D41" s="65"/>
      <c r="E41" s="6"/>
      <c r="F41" s="63"/>
      <c r="G41" s="6"/>
      <c r="H41" s="63"/>
      <c r="I41" s="6"/>
      <c r="J41" s="63"/>
      <c r="K41" s="6"/>
      <c r="L41" s="63"/>
      <c r="M41" s="6"/>
      <c r="N41" s="63"/>
      <c r="O41" s="6"/>
      <c r="P41" s="63"/>
      <c r="Q41" s="6"/>
      <c r="R41" s="63"/>
      <c r="S41" s="54"/>
    </row>
    <row r="42" spans="1:19" ht="15" customHeight="1" x14ac:dyDescent="0.25">
      <c r="A42" s="93" t="s">
        <v>370</v>
      </c>
      <c r="B42" s="110"/>
      <c r="C42" s="111"/>
      <c r="D42" s="65"/>
      <c r="E42" s="6"/>
      <c r="F42" s="63"/>
      <c r="G42" s="6"/>
      <c r="H42" s="63"/>
      <c r="I42" s="6"/>
      <c r="J42" s="63"/>
      <c r="K42" s="6"/>
      <c r="L42" s="63"/>
      <c r="M42" s="6"/>
      <c r="N42" s="63"/>
      <c r="O42" s="6"/>
      <c r="P42" s="63"/>
      <c r="Q42" s="6"/>
      <c r="R42" s="63"/>
      <c r="S42" s="54"/>
    </row>
    <row r="43" spans="1:19" ht="15" customHeight="1" x14ac:dyDescent="0.25">
      <c r="A43" s="93" t="s">
        <v>371</v>
      </c>
      <c r="B43" s="108"/>
      <c r="C43" s="109"/>
      <c r="D43" s="66"/>
      <c r="E43" s="67"/>
      <c r="F43" s="68"/>
      <c r="G43" s="67"/>
      <c r="H43" s="68"/>
      <c r="I43" s="67"/>
      <c r="J43" s="68"/>
      <c r="K43" s="67"/>
      <c r="L43" s="68"/>
      <c r="M43" s="67"/>
      <c r="N43" s="68"/>
      <c r="O43" s="67"/>
      <c r="P43" s="68"/>
      <c r="Q43" s="67"/>
      <c r="R43" s="68"/>
      <c r="S43" s="69"/>
    </row>
    <row r="45" spans="1:19" hidden="1" x14ac:dyDescent="0.25">
      <c r="C45" s="1" t="s">
        <v>388</v>
      </c>
      <c r="E45" s="75" t="str">
        <f t="shared" ref="E45:S60" si="3">IF(ISBLANK(E6), " ",IF(ISTEXT(E6),0,E6))</f>
        <v xml:space="preserve"> </v>
      </c>
      <c r="F45" s="75" t="str">
        <f t="shared" si="3"/>
        <v xml:space="preserve"> </v>
      </c>
      <c r="G45" s="75" t="str">
        <f t="shared" si="3"/>
        <v xml:space="preserve"> </v>
      </c>
      <c r="H45" s="75" t="str">
        <f t="shared" si="3"/>
        <v xml:space="preserve"> </v>
      </c>
      <c r="I45" s="75" t="str">
        <f t="shared" si="3"/>
        <v xml:space="preserve"> </v>
      </c>
      <c r="J45" s="75" t="str">
        <f t="shared" si="3"/>
        <v xml:space="preserve"> </v>
      </c>
      <c r="K45" s="75" t="str">
        <f t="shared" si="3"/>
        <v xml:space="preserve"> </v>
      </c>
      <c r="L45" s="75" t="str">
        <f t="shared" si="3"/>
        <v xml:space="preserve"> </v>
      </c>
      <c r="M45" s="75" t="str">
        <f t="shared" si="3"/>
        <v xml:space="preserve"> </v>
      </c>
      <c r="N45" s="75" t="str">
        <f t="shared" si="3"/>
        <v xml:space="preserve"> </v>
      </c>
      <c r="O45" s="75" t="str">
        <f t="shared" si="3"/>
        <v xml:space="preserve"> </v>
      </c>
      <c r="P45" s="75" t="str">
        <f t="shared" si="3"/>
        <v xml:space="preserve"> </v>
      </c>
      <c r="Q45" s="75" t="str">
        <f t="shared" si="3"/>
        <v xml:space="preserve"> </v>
      </c>
      <c r="R45" s="75" t="str">
        <f t="shared" si="3"/>
        <v xml:space="preserve"> </v>
      </c>
      <c r="S45" s="75" t="str">
        <f t="shared" si="3"/>
        <v xml:space="preserve"> </v>
      </c>
    </row>
    <row r="46" spans="1:19" hidden="1" x14ac:dyDescent="0.25">
      <c r="E46" s="75" t="str">
        <f t="shared" si="3"/>
        <v xml:space="preserve"> </v>
      </c>
      <c r="F46" s="75" t="str">
        <f t="shared" si="3"/>
        <v xml:space="preserve"> </v>
      </c>
      <c r="G46" s="75" t="str">
        <f t="shared" si="3"/>
        <v xml:space="preserve"> </v>
      </c>
      <c r="H46" s="75" t="str">
        <f t="shared" si="3"/>
        <v xml:space="preserve"> </v>
      </c>
      <c r="I46" s="75" t="str">
        <f t="shared" si="3"/>
        <v xml:space="preserve"> </v>
      </c>
      <c r="J46" s="75" t="str">
        <f t="shared" si="3"/>
        <v xml:space="preserve"> </v>
      </c>
      <c r="K46" s="75" t="str">
        <f t="shared" si="3"/>
        <v xml:space="preserve"> </v>
      </c>
      <c r="L46" s="75" t="str">
        <f t="shared" si="3"/>
        <v xml:space="preserve"> </v>
      </c>
      <c r="M46" s="75" t="str">
        <f t="shared" si="3"/>
        <v xml:space="preserve"> </v>
      </c>
      <c r="N46" s="75" t="str">
        <f t="shared" si="3"/>
        <v xml:space="preserve"> </v>
      </c>
      <c r="O46" s="75" t="str">
        <f t="shared" si="3"/>
        <v xml:space="preserve"> </v>
      </c>
      <c r="P46" s="75" t="str">
        <f t="shared" si="3"/>
        <v xml:space="preserve"> </v>
      </c>
      <c r="Q46" s="75" t="str">
        <f t="shared" si="3"/>
        <v xml:space="preserve"> </v>
      </c>
      <c r="R46" s="75" t="str">
        <f t="shared" si="3"/>
        <v xml:space="preserve"> </v>
      </c>
      <c r="S46" s="75" t="str">
        <f t="shared" si="3"/>
        <v xml:space="preserve"> </v>
      </c>
    </row>
    <row r="47" spans="1:19" hidden="1" x14ac:dyDescent="0.25">
      <c r="E47" s="75" t="str">
        <f t="shared" si="3"/>
        <v xml:space="preserve"> </v>
      </c>
      <c r="F47" s="75" t="str">
        <f t="shared" si="3"/>
        <v xml:space="preserve"> </v>
      </c>
      <c r="G47" s="75" t="str">
        <f t="shared" si="3"/>
        <v xml:space="preserve"> </v>
      </c>
      <c r="H47" s="75" t="str">
        <f t="shared" si="3"/>
        <v xml:space="preserve"> </v>
      </c>
      <c r="I47" s="75" t="str">
        <f t="shared" si="3"/>
        <v xml:space="preserve"> </v>
      </c>
      <c r="J47" s="75" t="str">
        <f t="shared" si="3"/>
        <v xml:space="preserve"> </v>
      </c>
      <c r="K47" s="75" t="str">
        <f t="shared" si="3"/>
        <v xml:space="preserve"> </v>
      </c>
      <c r="L47" s="75" t="str">
        <f t="shared" si="3"/>
        <v xml:space="preserve"> </v>
      </c>
      <c r="M47" s="75" t="str">
        <f t="shared" si="3"/>
        <v xml:space="preserve"> </v>
      </c>
      <c r="N47" s="75" t="str">
        <f t="shared" si="3"/>
        <v xml:space="preserve"> </v>
      </c>
      <c r="O47" s="75" t="str">
        <f t="shared" si="3"/>
        <v xml:space="preserve"> </v>
      </c>
      <c r="P47" s="75" t="str">
        <f t="shared" si="3"/>
        <v xml:space="preserve"> </v>
      </c>
      <c r="Q47" s="75" t="str">
        <f t="shared" si="3"/>
        <v xml:space="preserve"> </v>
      </c>
      <c r="R47" s="75" t="str">
        <f t="shared" si="3"/>
        <v xml:space="preserve"> </v>
      </c>
      <c r="S47" s="75" t="str">
        <f t="shared" si="3"/>
        <v xml:space="preserve"> </v>
      </c>
    </row>
    <row r="48" spans="1:19" hidden="1" x14ac:dyDescent="0.25">
      <c r="E48" s="75" t="str">
        <f t="shared" si="3"/>
        <v xml:space="preserve"> </v>
      </c>
      <c r="F48" s="75" t="str">
        <f t="shared" si="3"/>
        <v xml:space="preserve"> </v>
      </c>
      <c r="G48" s="75" t="str">
        <f t="shared" si="3"/>
        <v xml:space="preserve"> </v>
      </c>
      <c r="H48" s="75" t="str">
        <f t="shared" si="3"/>
        <v xml:space="preserve"> </v>
      </c>
      <c r="I48" s="75" t="str">
        <f t="shared" si="3"/>
        <v xml:space="preserve"> </v>
      </c>
      <c r="J48" s="75" t="str">
        <f t="shared" si="3"/>
        <v xml:space="preserve"> </v>
      </c>
      <c r="K48" s="75" t="str">
        <f t="shared" si="3"/>
        <v xml:space="preserve"> </v>
      </c>
      <c r="L48" s="75" t="str">
        <f t="shared" si="3"/>
        <v xml:space="preserve"> </v>
      </c>
      <c r="M48" s="75" t="str">
        <f t="shared" si="3"/>
        <v xml:space="preserve"> </v>
      </c>
      <c r="N48" s="75" t="str">
        <f t="shared" si="3"/>
        <v xml:space="preserve"> </v>
      </c>
      <c r="O48" s="75" t="str">
        <f t="shared" si="3"/>
        <v xml:space="preserve"> </v>
      </c>
      <c r="P48" s="75" t="str">
        <f t="shared" si="3"/>
        <v xml:space="preserve"> </v>
      </c>
      <c r="Q48" s="75" t="str">
        <f t="shared" si="3"/>
        <v xml:space="preserve"> </v>
      </c>
      <c r="R48" s="75" t="str">
        <f t="shared" si="3"/>
        <v xml:space="preserve"> </v>
      </c>
      <c r="S48" s="75" t="str">
        <f t="shared" si="3"/>
        <v xml:space="preserve"> </v>
      </c>
    </row>
    <row r="49" spans="5:19" hidden="1" x14ac:dyDescent="0.25">
      <c r="E49" s="75" t="str">
        <f t="shared" si="3"/>
        <v xml:space="preserve"> </v>
      </c>
      <c r="F49" s="75" t="str">
        <f t="shared" si="3"/>
        <v xml:space="preserve"> </v>
      </c>
      <c r="G49" s="75" t="str">
        <f t="shared" si="3"/>
        <v xml:space="preserve"> </v>
      </c>
      <c r="H49" s="75" t="str">
        <f t="shared" si="3"/>
        <v xml:space="preserve"> </v>
      </c>
      <c r="I49" s="75" t="str">
        <f t="shared" si="3"/>
        <v xml:space="preserve"> </v>
      </c>
      <c r="J49" s="75" t="str">
        <f t="shared" si="3"/>
        <v xml:space="preserve"> </v>
      </c>
      <c r="K49" s="75" t="str">
        <f t="shared" si="3"/>
        <v xml:space="preserve"> </v>
      </c>
      <c r="L49" s="75" t="str">
        <f t="shared" si="3"/>
        <v xml:space="preserve"> </v>
      </c>
      <c r="M49" s="75" t="str">
        <f t="shared" si="3"/>
        <v xml:space="preserve"> </v>
      </c>
      <c r="N49" s="75" t="str">
        <f t="shared" si="3"/>
        <v xml:space="preserve"> </v>
      </c>
      <c r="O49" s="75" t="str">
        <f t="shared" si="3"/>
        <v xml:space="preserve"> </v>
      </c>
      <c r="P49" s="75" t="str">
        <f t="shared" si="3"/>
        <v xml:space="preserve"> </v>
      </c>
      <c r="Q49" s="75" t="str">
        <f t="shared" si="3"/>
        <v xml:space="preserve"> </v>
      </c>
      <c r="R49" s="75" t="str">
        <f t="shared" si="3"/>
        <v xml:space="preserve"> </v>
      </c>
      <c r="S49" s="75" t="str">
        <f t="shared" si="3"/>
        <v xml:space="preserve"> </v>
      </c>
    </row>
    <row r="50" spans="5:19" hidden="1" x14ac:dyDescent="0.25">
      <c r="E50" s="75" t="str">
        <f t="shared" si="3"/>
        <v xml:space="preserve"> </v>
      </c>
      <c r="F50" s="75" t="str">
        <f t="shared" si="3"/>
        <v xml:space="preserve"> </v>
      </c>
      <c r="G50" s="75" t="str">
        <f t="shared" si="3"/>
        <v xml:space="preserve"> </v>
      </c>
      <c r="H50" s="75" t="str">
        <f t="shared" si="3"/>
        <v xml:space="preserve"> </v>
      </c>
      <c r="I50" s="75" t="str">
        <f t="shared" si="3"/>
        <v xml:space="preserve"> </v>
      </c>
      <c r="J50" s="75" t="str">
        <f t="shared" si="3"/>
        <v xml:space="preserve"> </v>
      </c>
      <c r="K50" s="75" t="str">
        <f t="shared" si="3"/>
        <v xml:space="preserve"> </v>
      </c>
      <c r="L50" s="75" t="str">
        <f t="shared" si="3"/>
        <v xml:space="preserve"> </v>
      </c>
      <c r="M50" s="75" t="str">
        <f t="shared" si="3"/>
        <v xml:space="preserve"> </v>
      </c>
      <c r="N50" s="75" t="str">
        <f t="shared" si="3"/>
        <v xml:space="preserve"> </v>
      </c>
      <c r="O50" s="75" t="str">
        <f t="shared" si="3"/>
        <v xml:space="preserve"> </v>
      </c>
      <c r="P50" s="75" t="str">
        <f t="shared" si="3"/>
        <v xml:space="preserve"> </v>
      </c>
      <c r="Q50" s="75" t="str">
        <f t="shared" si="3"/>
        <v xml:space="preserve"> </v>
      </c>
      <c r="R50" s="75" t="str">
        <f t="shared" si="3"/>
        <v xml:space="preserve"> </v>
      </c>
      <c r="S50" s="75" t="str">
        <f t="shared" si="3"/>
        <v xml:space="preserve"> </v>
      </c>
    </row>
    <row r="51" spans="5:19" hidden="1" x14ac:dyDescent="0.25">
      <c r="E51" s="75" t="str">
        <f t="shared" si="3"/>
        <v xml:space="preserve"> </v>
      </c>
      <c r="F51" s="75" t="str">
        <f t="shared" si="3"/>
        <v xml:space="preserve"> </v>
      </c>
      <c r="G51" s="75" t="str">
        <f t="shared" si="3"/>
        <v xml:space="preserve"> </v>
      </c>
      <c r="H51" s="75" t="str">
        <f t="shared" si="3"/>
        <v xml:space="preserve"> </v>
      </c>
      <c r="I51" s="75" t="str">
        <f t="shared" si="3"/>
        <v xml:space="preserve"> </v>
      </c>
      <c r="J51" s="75" t="str">
        <f t="shared" si="3"/>
        <v xml:space="preserve"> </v>
      </c>
      <c r="K51" s="75" t="str">
        <f t="shared" si="3"/>
        <v xml:space="preserve"> </v>
      </c>
      <c r="L51" s="75" t="str">
        <f t="shared" si="3"/>
        <v xml:space="preserve"> </v>
      </c>
      <c r="M51" s="75" t="str">
        <f t="shared" si="3"/>
        <v xml:space="preserve"> </v>
      </c>
      <c r="N51" s="75" t="str">
        <f t="shared" si="3"/>
        <v xml:space="preserve"> </v>
      </c>
      <c r="O51" s="75" t="str">
        <f t="shared" si="3"/>
        <v xml:space="preserve"> </v>
      </c>
      <c r="P51" s="75" t="str">
        <f t="shared" si="3"/>
        <v xml:space="preserve"> </v>
      </c>
      <c r="Q51" s="75" t="str">
        <f t="shared" si="3"/>
        <v xml:space="preserve"> </v>
      </c>
      <c r="R51" s="75" t="str">
        <f t="shared" si="3"/>
        <v xml:space="preserve"> </v>
      </c>
      <c r="S51" s="75" t="str">
        <f t="shared" si="3"/>
        <v xml:space="preserve"> </v>
      </c>
    </row>
    <row r="52" spans="5:19" hidden="1" x14ac:dyDescent="0.25">
      <c r="E52" s="75" t="str">
        <f t="shared" si="3"/>
        <v xml:space="preserve"> </v>
      </c>
      <c r="F52" s="75" t="str">
        <f t="shared" si="3"/>
        <v xml:space="preserve"> </v>
      </c>
      <c r="G52" s="75" t="str">
        <f t="shared" si="3"/>
        <v xml:space="preserve"> </v>
      </c>
      <c r="H52" s="75" t="str">
        <f t="shared" si="3"/>
        <v xml:space="preserve"> </v>
      </c>
      <c r="I52" s="75" t="str">
        <f t="shared" si="3"/>
        <v xml:space="preserve"> </v>
      </c>
      <c r="J52" s="75" t="str">
        <f t="shared" si="3"/>
        <v xml:space="preserve"> </v>
      </c>
      <c r="K52" s="75" t="str">
        <f t="shared" si="3"/>
        <v xml:space="preserve"> </v>
      </c>
      <c r="L52" s="75" t="str">
        <f t="shared" si="3"/>
        <v xml:space="preserve"> </v>
      </c>
      <c r="M52" s="75" t="str">
        <f t="shared" si="3"/>
        <v xml:space="preserve"> </v>
      </c>
      <c r="N52" s="75" t="str">
        <f t="shared" si="3"/>
        <v xml:space="preserve"> </v>
      </c>
      <c r="O52" s="75" t="str">
        <f t="shared" si="3"/>
        <v xml:space="preserve"> </v>
      </c>
      <c r="P52" s="75" t="str">
        <f t="shared" si="3"/>
        <v xml:space="preserve"> </v>
      </c>
      <c r="Q52" s="75" t="str">
        <f t="shared" si="3"/>
        <v xml:space="preserve"> </v>
      </c>
      <c r="R52" s="75" t="str">
        <f t="shared" si="3"/>
        <v xml:space="preserve"> </v>
      </c>
      <c r="S52" s="75" t="str">
        <f t="shared" si="3"/>
        <v xml:space="preserve"> </v>
      </c>
    </row>
    <row r="53" spans="5:19" hidden="1" x14ac:dyDescent="0.25">
      <c r="E53" s="75" t="str">
        <f t="shared" si="3"/>
        <v xml:space="preserve"> </v>
      </c>
      <c r="F53" s="75" t="str">
        <f t="shared" si="3"/>
        <v xml:space="preserve"> </v>
      </c>
      <c r="G53" s="75" t="str">
        <f t="shared" si="3"/>
        <v xml:space="preserve"> </v>
      </c>
      <c r="H53" s="75" t="str">
        <f t="shared" si="3"/>
        <v xml:space="preserve"> </v>
      </c>
      <c r="I53" s="75" t="str">
        <f t="shared" si="3"/>
        <v xml:space="preserve"> </v>
      </c>
      <c r="J53" s="75" t="str">
        <f t="shared" si="3"/>
        <v xml:space="preserve"> </v>
      </c>
      <c r="K53" s="75" t="str">
        <f t="shared" si="3"/>
        <v xml:space="preserve"> </v>
      </c>
      <c r="L53" s="75" t="str">
        <f t="shared" si="3"/>
        <v xml:space="preserve"> </v>
      </c>
      <c r="M53" s="75" t="str">
        <f t="shared" si="3"/>
        <v xml:space="preserve"> </v>
      </c>
      <c r="N53" s="75" t="str">
        <f t="shared" si="3"/>
        <v xml:space="preserve"> </v>
      </c>
      <c r="O53" s="75" t="str">
        <f t="shared" si="3"/>
        <v xml:space="preserve"> </v>
      </c>
      <c r="P53" s="75" t="str">
        <f t="shared" si="3"/>
        <v xml:space="preserve"> </v>
      </c>
      <c r="Q53" s="75" t="str">
        <f t="shared" si="3"/>
        <v xml:space="preserve"> </v>
      </c>
      <c r="R53" s="75" t="str">
        <f t="shared" si="3"/>
        <v xml:space="preserve"> </v>
      </c>
      <c r="S53" s="75" t="str">
        <f t="shared" si="3"/>
        <v xml:space="preserve"> </v>
      </c>
    </row>
    <row r="54" spans="5:19" hidden="1" x14ac:dyDescent="0.25">
      <c r="E54" s="75" t="str">
        <f t="shared" si="3"/>
        <v xml:space="preserve"> </v>
      </c>
      <c r="F54" s="75" t="str">
        <f t="shared" si="3"/>
        <v xml:space="preserve"> </v>
      </c>
      <c r="G54" s="75" t="str">
        <f t="shared" si="3"/>
        <v xml:space="preserve"> </v>
      </c>
      <c r="H54" s="75" t="str">
        <f t="shared" si="3"/>
        <v xml:space="preserve"> </v>
      </c>
      <c r="I54" s="75" t="str">
        <f t="shared" si="3"/>
        <v xml:space="preserve"> </v>
      </c>
      <c r="J54" s="75" t="str">
        <f t="shared" si="3"/>
        <v xml:space="preserve"> </v>
      </c>
      <c r="K54" s="75" t="str">
        <f t="shared" si="3"/>
        <v xml:space="preserve"> </v>
      </c>
      <c r="L54" s="75" t="str">
        <f t="shared" si="3"/>
        <v xml:space="preserve"> </v>
      </c>
      <c r="M54" s="75" t="str">
        <f t="shared" si="3"/>
        <v xml:space="preserve"> </v>
      </c>
      <c r="N54" s="75" t="str">
        <f t="shared" si="3"/>
        <v xml:space="preserve"> </v>
      </c>
      <c r="O54" s="75" t="str">
        <f t="shared" si="3"/>
        <v xml:space="preserve"> </v>
      </c>
      <c r="P54" s="75" t="str">
        <f t="shared" si="3"/>
        <v xml:space="preserve"> </v>
      </c>
      <c r="Q54" s="75" t="str">
        <f t="shared" si="3"/>
        <v xml:space="preserve"> </v>
      </c>
      <c r="R54" s="75" t="str">
        <f t="shared" si="3"/>
        <v xml:space="preserve"> </v>
      </c>
      <c r="S54" s="75" t="str">
        <f t="shared" si="3"/>
        <v xml:space="preserve"> </v>
      </c>
    </row>
    <row r="55" spans="5:19" hidden="1" x14ac:dyDescent="0.25">
      <c r="E55" s="75" t="str">
        <f t="shared" si="3"/>
        <v xml:space="preserve"> </v>
      </c>
      <c r="F55" s="75" t="str">
        <f t="shared" si="3"/>
        <v xml:space="preserve"> </v>
      </c>
      <c r="G55" s="75" t="str">
        <f t="shared" si="3"/>
        <v xml:space="preserve"> </v>
      </c>
      <c r="H55" s="75" t="str">
        <f t="shared" si="3"/>
        <v xml:space="preserve"> </v>
      </c>
      <c r="I55" s="75" t="str">
        <f t="shared" si="3"/>
        <v xml:space="preserve"> </v>
      </c>
      <c r="J55" s="75" t="str">
        <f t="shared" si="3"/>
        <v xml:space="preserve"> </v>
      </c>
      <c r="K55" s="75" t="str">
        <f t="shared" si="3"/>
        <v xml:space="preserve"> </v>
      </c>
      <c r="L55" s="75" t="str">
        <f t="shared" si="3"/>
        <v xml:space="preserve"> </v>
      </c>
      <c r="M55" s="75" t="str">
        <f t="shared" si="3"/>
        <v xml:space="preserve"> </v>
      </c>
      <c r="N55" s="75" t="str">
        <f t="shared" si="3"/>
        <v xml:space="preserve"> </v>
      </c>
      <c r="O55" s="75" t="str">
        <f t="shared" si="3"/>
        <v xml:space="preserve"> </v>
      </c>
      <c r="P55" s="75" t="str">
        <f t="shared" si="3"/>
        <v xml:space="preserve"> </v>
      </c>
      <c r="Q55" s="75" t="str">
        <f t="shared" si="3"/>
        <v xml:space="preserve"> </v>
      </c>
      <c r="R55" s="75" t="str">
        <f t="shared" si="3"/>
        <v xml:space="preserve"> </v>
      </c>
      <c r="S55" s="75" t="str">
        <f t="shared" si="3"/>
        <v xml:space="preserve"> </v>
      </c>
    </row>
    <row r="56" spans="5:19" hidden="1" x14ac:dyDescent="0.25">
      <c r="E56" s="75" t="str">
        <f t="shared" si="3"/>
        <v xml:space="preserve"> </v>
      </c>
      <c r="F56" s="75" t="str">
        <f t="shared" si="3"/>
        <v xml:space="preserve"> </v>
      </c>
      <c r="G56" s="75" t="str">
        <f t="shared" si="3"/>
        <v xml:space="preserve"> </v>
      </c>
      <c r="H56" s="75" t="str">
        <f t="shared" si="3"/>
        <v xml:space="preserve"> </v>
      </c>
      <c r="I56" s="75" t="str">
        <f t="shared" si="3"/>
        <v xml:space="preserve"> </v>
      </c>
      <c r="J56" s="75" t="str">
        <f t="shared" si="3"/>
        <v xml:space="preserve"> </v>
      </c>
      <c r="K56" s="75" t="str">
        <f t="shared" si="3"/>
        <v xml:space="preserve"> </v>
      </c>
      <c r="L56" s="75" t="str">
        <f t="shared" si="3"/>
        <v xml:space="preserve"> </v>
      </c>
      <c r="M56" s="75" t="str">
        <f t="shared" si="3"/>
        <v xml:space="preserve"> </v>
      </c>
      <c r="N56" s="75" t="str">
        <f t="shared" si="3"/>
        <v xml:space="preserve"> </v>
      </c>
      <c r="O56" s="75" t="str">
        <f t="shared" si="3"/>
        <v xml:space="preserve"> </v>
      </c>
      <c r="P56" s="75" t="str">
        <f t="shared" si="3"/>
        <v xml:space="preserve"> </v>
      </c>
      <c r="Q56" s="75" t="str">
        <f t="shared" si="3"/>
        <v xml:space="preserve"> </v>
      </c>
      <c r="R56" s="75" t="str">
        <f t="shared" si="3"/>
        <v xml:space="preserve"> </v>
      </c>
      <c r="S56" s="75" t="str">
        <f t="shared" si="3"/>
        <v xml:space="preserve"> </v>
      </c>
    </row>
    <row r="57" spans="5:19" hidden="1" x14ac:dyDescent="0.25">
      <c r="E57" s="75" t="str">
        <f t="shared" si="3"/>
        <v xml:space="preserve"> </v>
      </c>
      <c r="F57" s="75" t="str">
        <f t="shared" si="3"/>
        <v xml:space="preserve"> </v>
      </c>
      <c r="G57" s="75" t="str">
        <f t="shared" si="3"/>
        <v xml:space="preserve"> </v>
      </c>
      <c r="H57" s="75" t="str">
        <f t="shared" si="3"/>
        <v xml:space="preserve"> </v>
      </c>
      <c r="I57" s="75" t="str">
        <f t="shared" si="3"/>
        <v xml:space="preserve"> </v>
      </c>
      <c r="J57" s="75" t="str">
        <f t="shared" si="3"/>
        <v xml:space="preserve"> </v>
      </c>
      <c r="K57" s="75" t="str">
        <f t="shared" si="3"/>
        <v xml:space="preserve"> </v>
      </c>
      <c r="L57" s="75" t="str">
        <f t="shared" si="3"/>
        <v xml:space="preserve"> </v>
      </c>
      <c r="M57" s="75" t="str">
        <f t="shared" si="3"/>
        <v xml:space="preserve"> </v>
      </c>
      <c r="N57" s="75" t="str">
        <f t="shared" si="3"/>
        <v xml:space="preserve"> </v>
      </c>
      <c r="O57" s="75" t="str">
        <f t="shared" si="3"/>
        <v xml:space="preserve"> </v>
      </c>
      <c r="P57" s="75" t="str">
        <f t="shared" si="3"/>
        <v xml:space="preserve"> </v>
      </c>
      <c r="Q57" s="75" t="str">
        <f t="shared" si="3"/>
        <v xml:space="preserve"> </v>
      </c>
      <c r="R57" s="75" t="str">
        <f t="shared" si="3"/>
        <v xml:space="preserve"> </v>
      </c>
      <c r="S57" s="75" t="str">
        <f t="shared" si="3"/>
        <v xml:space="preserve"> </v>
      </c>
    </row>
    <row r="58" spans="5:19" hidden="1" x14ac:dyDescent="0.25">
      <c r="E58" s="75" t="str">
        <f t="shared" si="3"/>
        <v xml:space="preserve"> </v>
      </c>
      <c r="F58" s="75" t="str">
        <f t="shared" si="3"/>
        <v xml:space="preserve"> </v>
      </c>
      <c r="G58" s="75" t="str">
        <f t="shared" si="3"/>
        <v xml:space="preserve"> </v>
      </c>
      <c r="H58" s="75" t="str">
        <f t="shared" si="3"/>
        <v xml:space="preserve"> </v>
      </c>
      <c r="I58" s="75" t="str">
        <f t="shared" si="3"/>
        <v xml:space="preserve"> </v>
      </c>
      <c r="J58" s="75" t="str">
        <f t="shared" si="3"/>
        <v xml:space="preserve"> </v>
      </c>
      <c r="K58" s="75" t="str">
        <f t="shared" si="3"/>
        <v xml:space="preserve"> </v>
      </c>
      <c r="L58" s="75" t="str">
        <f t="shared" si="3"/>
        <v xml:space="preserve"> </v>
      </c>
      <c r="M58" s="75" t="str">
        <f t="shared" si="3"/>
        <v xml:space="preserve"> </v>
      </c>
      <c r="N58" s="75" t="str">
        <f t="shared" si="3"/>
        <v xml:space="preserve"> </v>
      </c>
      <c r="O58" s="75" t="str">
        <f t="shared" si="3"/>
        <v xml:space="preserve"> </v>
      </c>
      <c r="P58" s="75" t="str">
        <f t="shared" si="3"/>
        <v xml:space="preserve"> </v>
      </c>
      <c r="Q58" s="75" t="str">
        <f t="shared" si="3"/>
        <v xml:space="preserve"> </v>
      </c>
      <c r="R58" s="75" t="str">
        <f t="shared" si="3"/>
        <v xml:space="preserve"> </v>
      </c>
      <c r="S58" s="75" t="str">
        <f t="shared" si="3"/>
        <v xml:space="preserve"> </v>
      </c>
    </row>
    <row r="59" spans="5:19" hidden="1" x14ac:dyDescent="0.25">
      <c r="E59" s="75" t="str">
        <f t="shared" si="3"/>
        <v xml:space="preserve"> </v>
      </c>
      <c r="F59" s="75" t="str">
        <f t="shared" si="3"/>
        <v xml:space="preserve"> </v>
      </c>
      <c r="G59" s="75" t="str">
        <f t="shared" si="3"/>
        <v xml:space="preserve"> </v>
      </c>
      <c r="H59" s="75" t="str">
        <f t="shared" si="3"/>
        <v xml:space="preserve"> </v>
      </c>
      <c r="I59" s="75" t="str">
        <f t="shared" si="3"/>
        <v xml:space="preserve"> </v>
      </c>
      <c r="J59" s="75" t="str">
        <f t="shared" si="3"/>
        <v xml:space="preserve"> </v>
      </c>
      <c r="K59" s="75" t="str">
        <f t="shared" si="3"/>
        <v xml:space="preserve"> </v>
      </c>
      <c r="L59" s="75" t="str">
        <f t="shared" si="3"/>
        <v xml:space="preserve"> </v>
      </c>
      <c r="M59" s="75" t="str">
        <f t="shared" si="3"/>
        <v xml:space="preserve"> </v>
      </c>
      <c r="N59" s="75" t="str">
        <f t="shared" si="3"/>
        <v xml:space="preserve"> </v>
      </c>
      <c r="O59" s="75" t="str">
        <f t="shared" si="3"/>
        <v xml:space="preserve"> </v>
      </c>
      <c r="P59" s="75" t="str">
        <f t="shared" si="3"/>
        <v xml:space="preserve"> </v>
      </c>
      <c r="Q59" s="75" t="str">
        <f t="shared" si="3"/>
        <v xml:space="preserve"> </v>
      </c>
      <c r="R59" s="75" t="str">
        <f t="shared" si="3"/>
        <v xml:space="preserve"> </v>
      </c>
      <c r="S59" s="75" t="str">
        <f t="shared" si="3"/>
        <v xml:space="preserve"> </v>
      </c>
    </row>
    <row r="60" spans="5:19" hidden="1" x14ac:dyDescent="0.25">
      <c r="E60" s="75" t="str">
        <f t="shared" si="3"/>
        <v xml:space="preserve"> </v>
      </c>
      <c r="F60" s="75" t="str">
        <f t="shared" si="3"/>
        <v xml:space="preserve"> </v>
      </c>
      <c r="G60" s="75" t="str">
        <f t="shared" si="3"/>
        <v xml:space="preserve"> </v>
      </c>
      <c r="H60" s="75" t="str">
        <f t="shared" si="3"/>
        <v xml:space="preserve"> </v>
      </c>
      <c r="I60" s="75" t="str">
        <f t="shared" si="3"/>
        <v xml:space="preserve"> </v>
      </c>
      <c r="J60" s="75" t="str">
        <f t="shared" si="3"/>
        <v xml:space="preserve"> </v>
      </c>
      <c r="K60" s="75" t="str">
        <f t="shared" si="3"/>
        <v xml:space="preserve"> </v>
      </c>
      <c r="L60" s="75" t="str">
        <f t="shared" si="3"/>
        <v xml:space="preserve"> </v>
      </c>
      <c r="M60" s="75" t="str">
        <f t="shared" si="3"/>
        <v xml:space="preserve"> </v>
      </c>
      <c r="N60" s="75" t="str">
        <f t="shared" si="3"/>
        <v xml:space="preserve"> </v>
      </c>
      <c r="O60" s="75" t="str">
        <f t="shared" si="3"/>
        <v xml:space="preserve"> </v>
      </c>
      <c r="P60" s="75" t="str">
        <f t="shared" si="3"/>
        <v xml:space="preserve"> </v>
      </c>
      <c r="Q60" s="75" t="str">
        <f t="shared" si="3"/>
        <v xml:space="preserve"> </v>
      </c>
      <c r="R60" s="75" t="str">
        <f t="shared" si="3"/>
        <v xml:space="preserve"> </v>
      </c>
      <c r="S60" s="75" t="str">
        <f t="shared" si="3"/>
        <v xml:space="preserve"> </v>
      </c>
    </row>
    <row r="61" spans="5:19" hidden="1" x14ac:dyDescent="0.25">
      <c r="E61" s="75" t="str">
        <f t="shared" ref="E61:S75" si="4">IF(ISBLANK(E22), " ",IF(ISTEXT(E22),0,E22))</f>
        <v xml:space="preserve"> </v>
      </c>
      <c r="F61" s="75" t="str">
        <f t="shared" si="4"/>
        <v xml:space="preserve"> </v>
      </c>
      <c r="G61" s="75" t="str">
        <f t="shared" si="4"/>
        <v xml:space="preserve"> </v>
      </c>
      <c r="H61" s="75" t="str">
        <f t="shared" si="4"/>
        <v xml:space="preserve"> </v>
      </c>
      <c r="I61" s="75" t="str">
        <f t="shared" si="4"/>
        <v xml:space="preserve"> </v>
      </c>
      <c r="J61" s="75" t="str">
        <f t="shared" si="4"/>
        <v xml:space="preserve"> </v>
      </c>
      <c r="K61" s="75" t="str">
        <f t="shared" si="4"/>
        <v xml:space="preserve"> </v>
      </c>
      <c r="L61" s="75" t="str">
        <f t="shared" si="4"/>
        <v xml:space="preserve"> </v>
      </c>
      <c r="M61" s="75" t="str">
        <f t="shared" si="4"/>
        <v xml:space="preserve"> </v>
      </c>
      <c r="N61" s="75" t="str">
        <f t="shared" si="4"/>
        <v xml:space="preserve"> </v>
      </c>
      <c r="O61" s="75" t="str">
        <f t="shared" si="4"/>
        <v xml:space="preserve"> </v>
      </c>
      <c r="P61" s="75" t="str">
        <f t="shared" si="4"/>
        <v xml:space="preserve"> </v>
      </c>
      <c r="Q61" s="75" t="str">
        <f t="shared" si="4"/>
        <v xml:space="preserve"> </v>
      </c>
      <c r="R61" s="75" t="str">
        <f t="shared" si="4"/>
        <v xml:space="preserve"> </v>
      </c>
      <c r="S61" s="75" t="str">
        <f t="shared" si="4"/>
        <v xml:space="preserve"> </v>
      </c>
    </row>
    <row r="62" spans="5:19" hidden="1" x14ac:dyDescent="0.25">
      <c r="E62" s="75" t="str">
        <f t="shared" si="4"/>
        <v xml:space="preserve"> </v>
      </c>
      <c r="F62" s="75" t="str">
        <f t="shared" si="4"/>
        <v xml:space="preserve"> </v>
      </c>
      <c r="G62" s="75" t="str">
        <f t="shared" si="4"/>
        <v xml:space="preserve"> </v>
      </c>
      <c r="H62" s="75" t="str">
        <f t="shared" si="4"/>
        <v xml:space="preserve"> </v>
      </c>
      <c r="I62" s="75" t="str">
        <f t="shared" si="4"/>
        <v xml:space="preserve"> </v>
      </c>
      <c r="J62" s="75" t="str">
        <f t="shared" si="4"/>
        <v xml:space="preserve"> </v>
      </c>
      <c r="K62" s="75" t="str">
        <f t="shared" si="4"/>
        <v xml:space="preserve"> </v>
      </c>
      <c r="L62" s="75" t="str">
        <f t="shared" si="4"/>
        <v xml:space="preserve"> </v>
      </c>
      <c r="M62" s="75" t="str">
        <f t="shared" si="4"/>
        <v xml:space="preserve"> </v>
      </c>
      <c r="N62" s="75" t="str">
        <f t="shared" si="4"/>
        <v xml:space="preserve"> </v>
      </c>
      <c r="O62" s="75" t="str">
        <f t="shared" si="4"/>
        <v xml:space="preserve"> </v>
      </c>
      <c r="P62" s="75" t="str">
        <f t="shared" si="4"/>
        <v xml:space="preserve"> </v>
      </c>
      <c r="Q62" s="75" t="str">
        <f t="shared" si="4"/>
        <v xml:space="preserve"> </v>
      </c>
      <c r="R62" s="75" t="str">
        <f t="shared" si="4"/>
        <v xml:space="preserve"> </v>
      </c>
      <c r="S62" s="75" t="str">
        <f t="shared" si="4"/>
        <v xml:space="preserve"> </v>
      </c>
    </row>
    <row r="63" spans="5:19" hidden="1" x14ac:dyDescent="0.25">
      <c r="E63" s="75" t="str">
        <f t="shared" si="4"/>
        <v xml:space="preserve"> </v>
      </c>
      <c r="F63" s="75" t="str">
        <f t="shared" si="4"/>
        <v xml:space="preserve"> </v>
      </c>
      <c r="G63" s="75" t="str">
        <f t="shared" si="4"/>
        <v xml:space="preserve"> </v>
      </c>
      <c r="H63" s="75" t="str">
        <f t="shared" si="4"/>
        <v xml:space="preserve"> </v>
      </c>
      <c r="I63" s="75" t="str">
        <f t="shared" si="4"/>
        <v xml:space="preserve"> </v>
      </c>
      <c r="J63" s="75" t="str">
        <f t="shared" si="4"/>
        <v xml:space="preserve"> </v>
      </c>
      <c r="K63" s="75" t="str">
        <f t="shared" si="4"/>
        <v xml:space="preserve"> </v>
      </c>
      <c r="L63" s="75" t="str">
        <f t="shared" si="4"/>
        <v xml:space="preserve"> </v>
      </c>
      <c r="M63" s="75" t="str">
        <f t="shared" si="4"/>
        <v xml:space="preserve"> </v>
      </c>
      <c r="N63" s="75" t="str">
        <f t="shared" si="4"/>
        <v xml:space="preserve"> </v>
      </c>
      <c r="O63" s="75" t="str">
        <f t="shared" si="4"/>
        <v xml:space="preserve"> </v>
      </c>
      <c r="P63" s="75" t="str">
        <f t="shared" si="4"/>
        <v xml:space="preserve"> </v>
      </c>
      <c r="Q63" s="75" t="str">
        <f t="shared" si="4"/>
        <v xml:space="preserve"> </v>
      </c>
      <c r="R63" s="75" t="str">
        <f t="shared" si="4"/>
        <v xml:space="preserve"> </v>
      </c>
      <c r="S63" s="75" t="str">
        <f t="shared" si="4"/>
        <v xml:space="preserve"> </v>
      </c>
    </row>
    <row r="64" spans="5:19" hidden="1" x14ac:dyDescent="0.25">
      <c r="E64" s="75" t="str">
        <f t="shared" si="4"/>
        <v xml:space="preserve"> </v>
      </c>
      <c r="F64" s="75" t="str">
        <f t="shared" si="4"/>
        <v xml:space="preserve"> </v>
      </c>
      <c r="G64" s="75" t="str">
        <f t="shared" si="4"/>
        <v xml:space="preserve"> </v>
      </c>
      <c r="H64" s="75" t="str">
        <f t="shared" si="4"/>
        <v xml:space="preserve"> </v>
      </c>
      <c r="I64" s="75" t="str">
        <f t="shared" si="4"/>
        <v xml:space="preserve"> </v>
      </c>
      <c r="J64" s="75" t="str">
        <f t="shared" si="4"/>
        <v xml:space="preserve"> </v>
      </c>
      <c r="K64" s="75" t="str">
        <f t="shared" si="4"/>
        <v xml:space="preserve"> </v>
      </c>
      <c r="L64" s="75" t="str">
        <f t="shared" si="4"/>
        <v xml:space="preserve"> </v>
      </c>
      <c r="M64" s="75" t="str">
        <f t="shared" si="4"/>
        <v xml:space="preserve"> </v>
      </c>
      <c r="N64" s="75" t="str">
        <f t="shared" si="4"/>
        <v xml:space="preserve"> </v>
      </c>
      <c r="O64" s="75" t="str">
        <f t="shared" si="4"/>
        <v xml:space="preserve"> </v>
      </c>
      <c r="P64" s="75" t="str">
        <f t="shared" si="4"/>
        <v xml:space="preserve"> </v>
      </c>
      <c r="Q64" s="75" t="str">
        <f t="shared" si="4"/>
        <v xml:space="preserve"> </v>
      </c>
      <c r="R64" s="75" t="str">
        <f t="shared" si="4"/>
        <v xml:space="preserve"> </v>
      </c>
      <c r="S64" s="75" t="str">
        <f t="shared" si="4"/>
        <v xml:space="preserve"> </v>
      </c>
    </row>
    <row r="65" spans="3:19" hidden="1" x14ac:dyDescent="0.25">
      <c r="E65" s="75" t="str">
        <f t="shared" si="4"/>
        <v xml:space="preserve"> </v>
      </c>
      <c r="F65" s="75" t="str">
        <f t="shared" si="4"/>
        <v xml:space="preserve"> </v>
      </c>
      <c r="G65" s="75" t="str">
        <f t="shared" si="4"/>
        <v xml:space="preserve"> </v>
      </c>
      <c r="H65" s="75" t="str">
        <f t="shared" si="4"/>
        <v xml:space="preserve"> </v>
      </c>
      <c r="I65" s="75" t="str">
        <f t="shared" si="4"/>
        <v xml:space="preserve"> </v>
      </c>
      <c r="J65" s="75" t="str">
        <f t="shared" si="4"/>
        <v xml:space="preserve"> </v>
      </c>
      <c r="K65" s="75" t="str">
        <f t="shared" si="4"/>
        <v xml:space="preserve"> </v>
      </c>
      <c r="L65" s="75" t="str">
        <f t="shared" si="4"/>
        <v xml:space="preserve"> </v>
      </c>
      <c r="M65" s="75" t="str">
        <f t="shared" si="4"/>
        <v xml:space="preserve"> </v>
      </c>
      <c r="N65" s="75" t="str">
        <f t="shared" si="4"/>
        <v xml:space="preserve"> </v>
      </c>
      <c r="O65" s="75" t="str">
        <f t="shared" si="4"/>
        <v xml:space="preserve"> </v>
      </c>
      <c r="P65" s="75" t="str">
        <f t="shared" si="4"/>
        <v xml:space="preserve"> </v>
      </c>
      <c r="Q65" s="75" t="str">
        <f t="shared" si="4"/>
        <v xml:space="preserve"> </v>
      </c>
      <c r="R65" s="75" t="str">
        <f t="shared" si="4"/>
        <v xml:space="preserve"> </v>
      </c>
      <c r="S65" s="75" t="str">
        <f t="shared" si="4"/>
        <v xml:space="preserve"> </v>
      </c>
    </row>
    <row r="66" spans="3:19" hidden="1" x14ac:dyDescent="0.25">
      <c r="E66" s="75" t="str">
        <f t="shared" si="4"/>
        <v xml:space="preserve"> </v>
      </c>
      <c r="F66" s="75" t="str">
        <f t="shared" si="4"/>
        <v xml:space="preserve"> </v>
      </c>
      <c r="G66" s="75" t="str">
        <f t="shared" si="4"/>
        <v xml:space="preserve"> </v>
      </c>
      <c r="H66" s="75" t="str">
        <f t="shared" si="4"/>
        <v xml:space="preserve"> </v>
      </c>
      <c r="I66" s="75" t="str">
        <f t="shared" si="4"/>
        <v xml:space="preserve"> </v>
      </c>
      <c r="J66" s="75" t="str">
        <f t="shared" si="4"/>
        <v xml:space="preserve"> </v>
      </c>
      <c r="K66" s="75" t="str">
        <f t="shared" si="4"/>
        <v xml:space="preserve"> </v>
      </c>
      <c r="L66" s="75" t="str">
        <f t="shared" si="4"/>
        <v xml:space="preserve"> </v>
      </c>
      <c r="M66" s="75" t="str">
        <f t="shared" si="4"/>
        <v xml:space="preserve"> </v>
      </c>
      <c r="N66" s="75" t="str">
        <f t="shared" si="4"/>
        <v xml:space="preserve"> </v>
      </c>
      <c r="O66" s="75" t="str">
        <f t="shared" si="4"/>
        <v xml:space="preserve"> </v>
      </c>
      <c r="P66" s="75" t="str">
        <f t="shared" si="4"/>
        <v xml:space="preserve"> </v>
      </c>
      <c r="Q66" s="75" t="str">
        <f t="shared" si="4"/>
        <v xml:space="preserve"> </v>
      </c>
      <c r="R66" s="75" t="str">
        <f t="shared" si="4"/>
        <v xml:space="preserve"> </v>
      </c>
      <c r="S66" s="75" t="str">
        <f t="shared" si="4"/>
        <v xml:space="preserve"> </v>
      </c>
    </row>
    <row r="67" spans="3:19" hidden="1" x14ac:dyDescent="0.25">
      <c r="E67" s="75" t="str">
        <f t="shared" si="4"/>
        <v xml:space="preserve"> </v>
      </c>
      <c r="F67" s="75" t="str">
        <f t="shared" si="4"/>
        <v xml:space="preserve"> </v>
      </c>
      <c r="G67" s="75" t="str">
        <f t="shared" si="4"/>
        <v xml:space="preserve"> </v>
      </c>
      <c r="H67" s="75" t="str">
        <f t="shared" si="4"/>
        <v xml:space="preserve"> </v>
      </c>
      <c r="I67" s="75" t="str">
        <f t="shared" si="4"/>
        <v xml:space="preserve"> </v>
      </c>
      <c r="J67" s="75" t="str">
        <f t="shared" si="4"/>
        <v xml:space="preserve"> </v>
      </c>
      <c r="K67" s="75" t="str">
        <f t="shared" si="4"/>
        <v xml:space="preserve"> </v>
      </c>
      <c r="L67" s="75" t="str">
        <f t="shared" si="4"/>
        <v xml:space="preserve"> </v>
      </c>
      <c r="M67" s="75" t="str">
        <f t="shared" si="4"/>
        <v xml:space="preserve"> </v>
      </c>
      <c r="N67" s="75" t="str">
        <f t="shared" si="4"/>
        <v xml:space="preserve"> </v>
      </c>
      <c r="O67" s="75" t="str">
        <f t="shared" si="4"/>
        <v xml:space="preserve"> </v>
      </c>
      <c r="P67" s="75" t="str">
        <f t="shared" si="4"/>
        <v xml:space="preserve"> </v>
      </c>
      <c r="Q67" s="75" t="str">
        <f t="shared" si="4"/>
        <v xml:space="preserve"> </v>
      </c>
      <c r="R67" s="75" t="str">
        <f t="shared" si="4"/>
        <v xml:space="preserve"> </v>
      </c>
      <c r="S67" s="75" t="str">
        <f t="shared" si="4"/>
        <v xml:space="preserve"> </v>
      </c>
    </row>
    <row r="68" spans="3:19" hidden="1" x14ac:dyDescent="0.25">
      <c r="E68" s="75" t="str">
        <f t="shared" si="4"/>
        <v xml:space="preserve"> </v>
      </c>
      <c r="F68" s="75" t="str">
        <f t="shared" si="4"/>
        <v xml:space="preserve"> </v>
      </c>
      <c r="G68" s="75" t="str">
        <f t="shared" si="4"/>
        <v xml:space="preserve"> </v>
      </c>
      <c r="H68" s="75" t="str">
        <f t="shared" si="4"/>
        <v xml:space="preserve"> </v>
      </c>
      <c r="I68" s="75" t="str">
        <f t="shared" si="4"/>
        <v xml:space="preserve"> </v>
      </c>
      <c r="J68" s="75" t="str">
        <f t="shared" si="4"/>
        <v xml:space="preserve"> </v>
      </c>
      <c r="K68" s="75" t="str">
        <f t="shared" si="4"/>
        <v xml:space="preserve"> </v>
      </c>
      <c r="L68" s="75" t="str">
        <f t="shared" si="4"/>
        <v xml:space="preserve"> </v>
      </c>
      <c r="M68" s="75" t="str">
        <f t="shared" si="4"/>
        <v xml:space="preserve"> </v>
      </c>
      <c r="N68" s="75" t="str">
        <f t="shared" si="4"/>
        <v xml:space="preserve"> </v>
      </c>
      <c r="O68" s="75" t="str">
        <f t="shared" si="4"/>
        <v xml:space="preserve"> </v>
      </c>
      <c r="P68" s="75" t="str">
        <f t="shared" si="4"/>
        <v xml:space="preserve"> </v>
      </c>
      <c r="Q68" s="75" t="str">
        <f t="shared" si="4"/>
        <v xml:space="preserve"> </v>
      </c>
      <c r="R68" s="75" t="str">
        <f t="shared" si="4"/>
        <v xml:space="preserve"> </v>
      </c>
      <c r="S68" s="75" t="str">
        <f t="shared" si="4"/>
        <v xml:space="preserve"> </v>
      </c>
    </row>
    <row r="69" spans="3:19" hidden="1" x14ac:dyDescent="0.25">
      <c r="E69" s="75" t="str">
        <f t="shared" si="4"/>
        <v xml:space="preserve"> </v>
      </c>
      <c r="F69" s="75" t="str">
        <f t="shared" si="4"/>
        <v xml:space="preserve"> </v>
      </c>
      <c r="G69" s="75" t="str">
        <f t="shared" si="4"/>
        <v xml:space="preserve"> </v>
      </c>
      <c r="H69" s="75" t="str">
        <f t="shared" si="4"/>
        <v xml:space="preserve"> </v>
      </c>
      <c r="I69" s="75" t="str">
        <f t="shared" si="4"/>
        <v xml:space="preserve"> </v>
      </c>
      <c r="J69" s="75" t="str">
        <f t="shared" si="4"/>
        <v xml:space="preserve"> </v>
      </c>
      <c r="K69" s="75" t="str">
        <f t="shared" si="4"/>
        <v xml:space="preserve"> </v>
      </c>
      <c r="L69" s="75" t="str">
        <f t="shared" si="4"/>
        <v xml:space="preserve"> </v>
      </c>
      <c r="M69" s="75" t="str">
        <f t="shared" si="4"/>
        <v xml:space="preserve"> </v>
      </c>
      <c r="N69" s="75" t="str">
        <f t="shared" si="4"/>
        <v xml:space="preserve"> </v>
      </c>
      <c r="O69" s="75" t="str">
        <f t="shared" si="4"/>
        <v xml:space="preserve"> </v>
      </c>
      <c r="P69" s="75" t="str">
        <f t="shared" si="4"/>
        <v xml:space="preserve"> </v>
      </c>
      <c r="Q69" s="75" t="str">
        <f t="shared" si="4"/>
        <v xml:space="preserve"> </v>
      </c>
      <c r="R69" s="75" t="str">
        <f t="shared" si="4"/>
        <v xml:space="preserve"> </v>
      </c>
      <c r="S69" s="75" t="str">
        <f t="shared" si="4"/>
        <v xml:space="preserve"> </v>
      </c>
    </row>
    <row r="70" spans="3:19" hidden="1" x14ac:dyDescent="0.25">
      <c r="E70" s="75" t="str">
        <f t="shared" si="4"/>
        <v xml:space="preserve"> </v>
      </c>
      <c r="F70" s="75" t="str">
        <f t="shared" si="4"/>
        <v xml:space="preserve"> </v>
      </c>
      <c r="G70" s="75" t="str">
        <f t="shared" si="4"/>
        <v xml:space="preserve"> </v>
      </c>
      <c r="H70" s="75" t="str">
        <f t="shared" si="4"/>
        <v xml:space="preserve"> </v>
      </c>
      <c r="I70" s="75" t="str">
        <f t="shared" si="4"/>
        <v xml:space="preserve"> </v>
      </c>
      <c r="J70" s="75" t="str">
        <f t="shared" si="4"/>
        <v xml:space="preserve"> </v>
      </c>
      <c r="K70" s="75" t="str">
        <f t="shared" si="4"/>
        <v xml:space="preserve"> </v>
      </c>
      <c r="L70" s="75" t="str">
        <f t="shared" si="4"/>
        <v xml:space="preserve"> </v>
      </c>
      <c r="M70" s="75" t="str">
        <f t="shared" si="4"/>
        <v xml:space="preserve"> </v>
      </c>
      <c r="N70" s="75" t="str">
        <f t="shared" si="4"/>
        <v xml:space="preserve"> </v>
      </c>
      <c r="O70" s="75" t="str">
        <f t="shared" si="4"/>
        <v xml:space="preserve"> </v>
      </c>
      <c r="P70" s="75" t="str">
        <f t="shared" si="4"/>
        <v xml:space="preserve"> </v>
      </c>
      <c r="Q70" s="75" t="str">
        <f t="shared" si="4"/>
        <v xml:space="preserve"> </v>
      </c>
      <c r="R70" s="75" t="str">
        <f t="shared" si="4"/>
        <v xml:space="preserve"> </v>
      </c>
      <c r="S70" s="75" t="str">
        <f t="shared" si="4"/>
        <v xml:space="preserve"> </v>
      </c>
    </row>
    <row r="71" spans="3:19" hidden="1" x14ac:dyDescent="0.25">
      <c r="E71" s="75" t="str">
        <f t="shared" si="4"/>
        <v xml:space="preserve"> </v>
      </c>
      <c r="F71" s="75" t="str">
        <f t="shared" si="4"/>
        <v xml:space="preserve"> </v>
      </c>
      <c r="G71" s="75" t="str">
        <f t="shared" si="4"/>
        <v xml:space="preserve"> </v>
      </c>
      <c r="H71" s="75" t="str">
        <f t="shared" si="4"/>
        <v xml:space="preserve"> </v>
      </c>
      <c r="I71" s="75" t="str">
        <f t="shared" si="4"/>
        <v xml:space="preserve"> </v>
      </c>
      <c r="J71" s="75" t="str">
        <f t="shared" si="4"/>
        <v xml:space="preserve"> </v>
      </c>
      <c r="K71" s="75" t="str">
        <f t="shared" si="4"/>
        <v xml:space="preserve"> </v>
      </c>
      <c r="L71" s="75" t="str">
        <f t="shared" si="4"/>
        <v xml:space="preserve"> </v>
      </c>
      <c r="M71" s="75" t="str">
        <f t="shared" si="4"/>
        <v xml:space="preserve"> </v>
      </c>
      <c r="N71" s="75" t="str">
        <f t="shared" si="4"/>
        <v xml:space="preserve"> </v>
      </c>
      <c r="O71" s="75" t="str">
        <f t="shared" si="4"/>
        <v xml:space="preserve"> </v>
      </c>
      <c r="P71" s="75" t="str">
        <f t="shared" si="4"/>
        <v xml:space="preserve"> </v>
      </c>
      <c r="Q71" s="75" t="str">
        <f t="shared" si="4"/>
        <v xml:space="preserve"> </v>
      </c>
      <c r="R71" s="75" t="str">
        <f t="shared" si="4"/>
        <v xml:space="preserve"> </v>
      </c>
      <c r="S71" s="75" t="str">
        <f t="shared" si="4"/>
        <v xml:space="preserve"> </v>
      </c>
    </row>
    <row r="72" spans="3:19" hidden="1" x14ac:dyDescent="0.25">
      <c r="E72" s="75" t="str">
        <f t="shared" si="4"/>
        <v xml:space="preserve"> </v>
      </c>
      <c r="F72" s="75" t="str">
        <f t="shared" si="4"/>
        <v xml:space="preserve"> </v>
      </c>
      <c r="G72" s="75" t="str">
        <f t="shared" si="4"/>
        <v xml:space="preserve"> </v>
      </c>
      <c r="H72" s="75" t="str">
        <f t="shared" si="4"/>
        <v xml:space="preserve"> </v>
      </c>
      <c r="I72" s="75" t="str">
        <f t="shared" si="4"/>
        <v xml:space="preserve"> </v>
      </c>
      <c r="J72" s="75" t="str">
        <f t="shared" si="4"/>
        <v xml:space="preserve"> </v>
      </c>
      <c r="K72" s="75" t="str">
        <f t="shared" si="4"/>
        <v xml:space="preserve"> </v>
      </c>
      <c r="L72" s="75" t="str">
        <f t="shared" si="4"/>
        <v xml:space="preserve"> </v>
      </c>
      <c r="M72" s="75" t="str">
        <f t="shared" si="4"/>
        <v xml:space="preserve"> </v>
      </c>
      <c r="N72" s="75" t="str">
        <f t="shared" si="4"/>
        <v xml:space="preserve"> </v>
      </c>
      <c r="O72" s="75" t="str">
        <f t="shared" si="4"/>
        <v xml:space="preserve"> </v>
      </c>
      <c r="P72" s="75" t="str">
        <f t="shared" si="4"/>
        <v xml:space="preserve"> </v>
      </c>
      <c r="Q72" s="75" t="str">
        <f t="shared" si="4"/>
        <v xml:space="preserve"> </v>
      </c>
      <c r="R72" s="75" t="str">
        <f t="shared" si="4"/>
        <v xml:space="preserve"> </v>
      </c>
      <c r="S72" s="75" t="str">
        <f t="shared" si="4"/>
        <v xml:space="preserve"> </v>
      </c>
    </row>
    <row r="73" spans="3:19" hidden="1" x14ac:dyDescent="0.25">
      <c r="E73" s="75" t="str">
        <f t="shared" si="4"/>
        <v xml:space="preserve"> </v>
      </c>
      <c r="F73" s="75" t="str">
        <f t="shared" si="4"/>
        <v xml:space="preserve"> </v>
      </c>
      <c r="G73" s="75" t="str">
        <f t="shared" si="4"/>
        <v xml:space="preserve"> </v>
      </c>
      <c r="H73" s="75" t="str">
        <f t="shared" si="4"/>
        <v xml:space="preserve"> </v>
      </c>
      <c r="I73" s="75" t="str">
        <f t="shared" si="4"/>
        <v xml:space="preserve"> </v>
      </c>
      <c r="J73" s="75" t="str">
        <f t="shared" si="4"/>
        <v xml:space="preserve"> </v>
      </c>
      <c r="K73" s="75" t="str">
        <f t="shared" si="4"/>
        <v xml:space="preserve"> </v>
      </c>
      <c r="L73" s="75" t="str">
        <f t="shared" si="4"/>
        <v xml:space="preserve"> </v>
      </c>
      <c r="M73" s="75" t="str">
        <f t="shared" si="4"/>
        <v xml:space="preserve"> </v>
      </c>
      <c r="N73" s="75" t="str">
        <f t="shared" si="4"/>
        <v xml:space="preserve"> </v>
      </c>
      <c r="O73" s="75" t="str">
        <f t="shared" si="4"/>
        <v xml:space="preserve"> </v>
      </c>
      <c r="P73" s="75" t="str">
        <f t="shared" si="4"/>
        <v xml:space="preserve"> </v>
      </c>
      <c r="Q73" s="75" t="str">
        <f t="shared" si="4"/>
        <v xml:space="preserve"> </v>
      </c>
      <c r="R73" s="75" t="str">
        <f t="shared" si="4"/>
        <v xml:space="preserve"> </v>
      </c>
      <c r="S73" s="75" t="str">
        <f t="shared" si="4"/>
        <v xml:space="preserve"> </v>
      </c>
    </row>
    <row r="74" spans="3:19" hidden="1" x14ac:dyDescent="0.25">
      <c r="E74" s="75" t="str">
        <f t="shared" si="4"/>
        <v xml:space="preserve"> </v>
      </c>
      <c r="F74" s="75" t="str">
        <f t="shared" si="4"/>
        <v xml:space="preserve"> </v>
      </c>
      <c r="G74" s="75" t="str">
        <f t="shared" si="4"/>
        <v xml:space="preserve"> </v>
      </c>
      <c r="H74" s="75" t="str">
        <f t="shared" si="4"/>
        <v xml:space="preserve"> </v>
      </c>
      <c r="I74" s="75" t="str">
        <f t="shared" si="4"/>
        <v xml:space="preserve"> </v>
      </c>
      <c r="J74" s="75" t="str">
        <f t="shared" si="4"/>
        <v xml:space="preserve"> </v>
      </c>
      <c r="K74" s="75" t="str">
        <f t="shared" si="4"/>
        <v xml:space="preserve"> </v>
      </c>
      <c r="L74" s="75" t="str">
        <f t="shared" si="4"/>
        <v xml:space="preserve"> </v>
      </c>
      <c r="M74" s="75" t="str">
        <f t="shared" si="4"/>
        <v xml:space="preserve"> </v>
      </c>
      <c r="N74" s="75" t="str">
        <f t="shared" si="4"/>
        <v xml:space="preserve"> </v>
      </c>
      <c r="O74" s="75" t="str">
        <f t="shared" si="4"/>
        <v xml:space="preserve"> </v>
      </c>
      <c r="P74" s="75" t="str">
        <f t="shared" si="4"/>
        <v xml:space="preserve"> </v>
      </c>
      <c r="Q74" s="75" t="str">
        <f t="shared" si="4"/>
        <v xml:space="preserve"> </v>
      </c>
      <c r="R74" s="75" t="str">
        <f t="shared" si="4"/>
        <v xml:space="preserve"> </v>
      </c>
      <c r="S74" s="75" t="str">
        <f t="shared" si="4"/>
        <v xml:space="preserve"> </v>
      </c>
    </row>
    <row r="75" spans="3:19" hidden="1" x14ac:dyDescent="0.25">
      <c r="E75" s="75" t="str">
        <f t="shared" si="4"/>
        <v xml:space="preserve"> </v>
      </c>
      <c r="F75" s="75" t="str">
        <f t="shared" si="4"/>
        <v xml:space="preserve"> </v>
      </c>
      <c r="G75" s="75" t="str">
        <f t="shared" si="4"/>
        <v xml:space="preserve"> </v>
      </c>
      <c r="H75" s="75" t="str">
        <f t="shared" si="4"/>
        <v xml:space="preserve"> </v>
      </c>
      <c r="I75" s="75" t="str">
        <f t="shared" si="4"/>
        <v xml:space="preserve"> </v>
      </c>
      <c r="J75" s="75" t="str">
        <f t="shared" si="4"/>
        <v xml:space="preserve"> </v>
      </c>
      <c r="K75" s="75" t="str">
        <f t="shared" si="4"/>
        <v xml:space="preserve"> </v>
      </c>
      <c r="L75" s="75" t="str">
        <f t="shared" si="4"/>
        <v xml:space="preserve"> </v>
      </c>
      <c r="M75" s="75" t="str">
        <f t="shared" si="4"/>
        <v xml:space="preserve"> </v>
      </c>
      <c r="N75" s="75" t="str">
        <f t="shared" si="4"/>
        <v xml:space="preserve"> </v>
      </c>
      <c r="O75" s="75" t="str">
        <f t="shared" si="4"/>
        <v xml:space="preserve"> </v>
      </c>
      <c r="P75" s="75" t="str">
        <f t="shared" si="4"/>
        <v xml:space="preserve"> </v>
      </c>
      <c r="Q75" s="75" t="str">
        <f t="shared" si="4"/>
        <v xml:space="preserve"> </v>
      </c>
      <c r="R75" s="75" t="str">
        <f t="shared" si="4"/>
        <v xml:space="preserve"> </v>
      </c>
      <c r="S75" s="75" t="str">
        <f t="shared" si="4"/>
        <v xml:space="preserve"> </v>
      </c>
    </row>
    <row r="76" spans="3:19" hidden="1" x14ac:dyDescent="0.25">
      <c r="C76" s="1" t="s">
        <v>389</v>
      </c>
      <c r="E76" s="76" t="str">
        <f t="shared" ref="E76:S91" si="5">IF(ISBLANK(E6)," ",IF(ISTEXT(E6),1,E6))</f>
        <v xml:space="preserve"> </v>
      </c>
      <c r="F76" s="76" t="str">
        <f t="shared" si="5"/>
        <v xml:space="preserve"> </v>
      </c>
      <c r="G76" s="76" t="str">
        <f t="shared" si="5"/>
        <v xml:space="preserve"> </v>
      </c>
      <c r="H76" s="76" t="str">
        <f t="shared" si="5"/>
        <v xml:space="preserve"> </v>
      </c>
      <c r="I76" s="76" t="str">
        <f t="shared" si="5"/>
        <v xml:space="preserve"> </v>
      </c>
      <c r="J76" s="76" t="str">
        <f t="shared" si="5"/>
        <v xml:space="preserve"> </v>
      </c>
      <c r="K76" s="76" t="str">
        <f t="shared" si="5"/>
        <v xml:space="preserve"> </v>
      </c>
      <c r="L76" s="76" t="str">
        <f t="shared" si="5"/>
        <v xml:space="preserve"> </v>
      </c>
      <c r="M76" s="76" t="str">
        <f t="shared" si="5"/>
        <v xml:space="preserve"> </v>
      </c>
      <c r="N76" s="76" t="str">
        <f t="shared" si="5"/>
        <v xml:space="preserve"> </v>
      </c>
      <c r="O76" s="76" t="str">
        <f t="shared" si="5"/>
        <v xml:space="preserve"> </v>
      </c>
      <c r="P76" s="76" t="str">
        <f t="shared" si="5"/>
        <v xml:space="preserve"> </v>
      </c>
      <c r="Q76" s="76" t="str">
        <f t="shared" si="5"/>
        <v xml:space="preserve"> </v>
      </c>
      <c r="R76" s="76" t="str">
        <f t="shared" si="5"/>
        <v xml:space="preserve"> </v>
      </c>
      <c r="S76" s="76" t="str">
        <f t="shared" si="5"/>
        <v xml:space="preserve"> </v>
      </c>
    </row>
    <row r="77" spans="3:19" hidden="1" x14ac:dyDescent="0.25">
      <c r="E77" s="76" t="str">
        <f t="shared" si="5"/>
        <v xml:space="preserve"> </v>
      </c>
      <c r="F77" s="76" t="str">
        <f t="shared" si="5"/>
        <v xml:space="preserve"> </v>
      </c>
      <c r="G77" s="76" t="str">
        <f t="shared" si="5"/>
        <v xml:space="preserve"> </v>
      </c>
      <c r="H77" s="76" t="str">
        <f t="shared" si="5"/>
        <v xml:space="preserve"> </v>
      </c>
      <c r="I77" s="76" t="str">
        <f t="shared" si="5"/>
        <v xml:space="preserve"> </v>
      </c>
      <c r="J77" s="76" t="str">
        <f t="shared" si="5"/>
        <v xml:space="preserve"> </v>
      </c>
      <c r="K77" s="76" t="str">
        <f t="shared" si="5"/>
        <v xml:space="preserve"> </v>
      </c>
      <c r="L77" s="76" t="str">
        <f t="shared" si="5"/>
        <v xml:space="preserve"> </v>
      </c>
      <c r="M77" s="76" t="str">
        <f t="shared" si="5"/>
        <v xml:space="preserve"> </v>
      </c>
      <c r="N77" s="76" t="str">
        <f t="shared" si="5"/>
        <v xml:space="preserve"> </v>
      </c>
      <c r="O77" s="76" t="str">
        <f t="shared" si="5"/>
        <v xml:space="preserve"> </v>
      </c>
      <c r="P77" s="76" t="str">
        <f t="shared" si="5"/>
        <v xml:space="preserve"> </v>
      </c>
      <c r="Q77" s="76" t="str">
        <f t="shared" si="5"/>
        <v xml:space="preserve"> </v>
      </c>
      <c r="R77" s="76" t="str">
        <f t="shared" si="5"/>
        <v xml:space="preserve"> </v>
      </c>
      <c r="S77" s="76" t="str">
        <f t="shared" si="5"/>
        <v xml:space="preserve"> </v>
      </c>
    </row>
    <row r="78" spans="3:19" hidden="1" x14ac:dyDescent="0.25">
      <c r="E78" s="76" t="str">
        <f t="shared" si="5"/>
        <v xml:space="preserve"> </v>
      </c>
      <c r="F78" s="76" t="str">
        <f t="shared" si="5"/>
        <v xml:space="preserve"> </v>
      </c>
      <c r="G78" s="76" t="str">
        <f t="shared" si="5"/>
        <v xml:space="preserve"> </v>
      </c>
      <c r="H78" s="76" t="str">
        <f t="shared" si="5"/>
        <v xml:space="preserve"> </v>
      </c>
      <c r="I78" s="76" t="str">
        <f t="shared" si="5"/>
        <v xml:space="preserve"> </v>
      </c>
      <c r="J78" s="76" t="str">
        <f t="shared" si="5"/>
        <v xml:space="preserve"> </v>
      </c>
      <c r="K78" s="76" t="str">
        <f t="shared" si="5"/>
        <v xml:space="preserve"> </v>
      </c>
      <c r="L78" s="76" t="str">
        <f t="shared" si="5"/>
        <v xml:space="preserve"> </v>
      </c>
      <c r="M78" s="76" t="str">
        <f t="shared" si="5"/>
        <v xml:space="preserve"> </v>
      </c>
      <c r="N78" s="76" t="str">
        <f t="shared" si="5"/>
        <v xml:space="preserve"> </v>
      </c>
      <c r="O78" s="76" t="str">
        <f t="shared" si="5"/>
        <v xml:space="preserve"> </v>
      </c>
      <c r="P78" s="76" t="str">
        <f t="shared" si="5"/>
        <v xml:space="preserve"> </v>
      </c>
      <c r="Q78" s="76" t="str">
        <f t="shared" si="5"/>
        <v xml:space="preserve"> </v>
      </c>
      <c r="R78" s="76" t="str">
        <f t="shared" si="5"/>
        <v xml:space="preserve"> </v>
      </c>
      <c r="S78" s="76" t="str">
        <f t="shared" si="5"/>
        <v xml:space="preserve"> </v>
      </c>
    </row>
    <row r="79" spans="3:19" hidden="1" x14ac:dyDescent="0.25">
      <c r="E79" s="76" t="str">
        <f t="shared" si="5"/>
        <v xml:space="preserve"> </v>
      </c>
      <c r="F79" s="76" t="str">
        <f t="shared" si="5"/>
        <v xml:space="preserve"> </v>
      </c>
      <c r="G79" s="76" t="str">
        <f t="shared" si="5"/>
        <v xml:space="preserve"> </v>
      </c>
      <c r="H79" s="76" t="str">
        <f t="shared" si="5"/>
        <v xml:space="preserve"> </v>
      </c>
      <c r="I79" s="76" t="str">
        <f t="shared" si="5"/>
        <v xml:space="preserve"> </v>
      </c>
      <c r="J79" s="76" t="str">
        <f t="shared" si="5"/>
        <v xml:space="preserve"> </v>
      </c>
      <c r="K79" s="76" t="str">
        <f t="shared" si="5"/>
        <v xml:space="preserve"> </v>
      </c>
      <c r="L79" s="76" t="str">
        <f t="shared" si="5"/>
        <v xml:space="preserve"> </v>
      </c>
      <c r="M79" s="76" t="str">
        <f t="shared" si="5"/>
        <v xml:space="preserve"> </v>
      </c>
      <c r="N79" s="76" t="str">
        <f t="shared" si="5"/>
        <v xml:space="preserve"> </v>
      </c>
      <c r="O79" s="76" t="str">
        <f t="shared" si="5"/>
        <v xml:space="preserve"> </v>
      </c>
      <c r="P79" s="76" t="str">
        <f t="shared" si="5"/>
        <v xml:space="preserve"> </v>
      </c>
      <c r="Q79" s="76" t="str">
        <f t="shared" si="5"/>
        <v xml:space="preserve"> </v>
      </c>
      <c r="R79" s="76" t="str">
        <f t="shared" si="5"/>
        <v xml:space="preserve"> </v>
      </c>
      <c r="S79" s="76" t="str">
        <f t="shared" si="5"/>
        <v xml:space="preserve"> </v>
      </c>
    </row>
    <row r="80" spans="3:19" hidden="1" x14ac:dyDescent="0.25">
      <c r="E80" s="76" t="str">
        <f t="shared" si="5"/>
        <v xml:space="preserve"> </v>
      </c>
      <c r="F80" s="76" t="str">
        <f t="shared" si="5"/>
        <v xml:space="preserve"> </v>
      </c>
      <c r="G80" s="76" t="str">
        <f t="shared" si="5"/>
        <v xml:space="preserve"> </v>
      </c>
      <c r="H80" s="76" t="str">
        <f t="shared" si="5"/>
        <v xml:space="preserve"> </v>
      </c>
      <c r="I80" s="76" t="str">
        <f t="shared" si="5"/>
        <v xml:space="preserve"> </v>
      </c>
      <c r="J80" s="76" t="str">
        <f t="shared" si="5"/>
        <v xml:space="preserve"> </v>
      </c>
      <c r="K80" s="76" t="str">
        <f t="shared" si="5"/>
        <v xml:space="preserve"> </v>
      </c>
      <c r="L80" s="76" t="str">
        <f t="shared" si="5"/>
        <v xml:space="preserve"> </v>
      </c>
      <c r="M80" s="76" t="str">
        <f t="shared" si="5"/>
        <v xml:space="preserve"> </v>
      </c>
      <c r="N80" s="76" t="str">
        <f t="shared" si="5"/>
        <v xml:space="preserve"> </v>
      </c>
      <c r="O80" s="76" t="str">
        <f t="shared" si="5"/>
        <v xml:space="preserve"> </v>
      </c>
      <c r="P80" s="76" t="str">
        <f t="shared" si="5"/>
        <v xml:space="preserve"> </v>
      </c>
      <c r="Q80" s="76" t="str">
        <f t="shared" si="5"/>
        <v xml:space="preserve"> </v>
      </c>
      <c r="R80" s="76" t="str">
        <f t="shared" si="5"/>
        <v xml:space="preserve"> </v>
      </c>
      <c r="S80" s="76" t="str">
        <f t="shared" si="5"/>
        <v xml:space="preserve"> </v>
      </c>
    </row>
    <row r="81" spans="5:19" hidden="1" x14ac:dyDescent="0.25">
      <c r="E81" s="76" t="str">
        <f t="shared" si="5"/>
        <v xml:space="preserve"> </v>
      </c>
      <c r="F81" s="76" t="str">
        <f t="shared" si="5"/>
        <v xml:space="preserve"> </v>
      </c>
      <c r="G81" s="76" t="str">
        <f t="shared" si="5"/>
        <v xml:space="preserve"> </v>
      </c>
      <c r="H81" s="76" t="str">
        <f t="shared" si="5"/>
        <v xml:space="preserve"> </v>
      </c>
      <c r="I81" s="76" t="str">
        <f t="shared" si="5"/>
        <v xml:space="preserve"> </v>
      </c>
      <c r="J81" s="76" t="str">
        <f t="shared" si="5"/>
        <v xml:space="preserve"> </v>
      </c>
      <c r="K81" s="76" t="str">
        <f t="shared" si="5"/>
        <v xml:space="preserve"> </v>
      </c>
      <c r="L81" s="76" t="str">
        <f t="shared" si="5"/>
        <v xml:space="preserve"> </v>
      </c>
      <c r="M81" s="76" t="str">
        <f t="shared" si="5"/>
        <v xml:space="preserve"> </v>
      </c>
      <c r="N81" s="76" t="str">
        <f t="shared" si="5"/>
        <v xml:space="preserve"> </v>
      </c>
      <c r="O81" s="76" t="str">
        <f t="shared" si="5"/>
        <v xml:space="preserve"> </v>
      </c>
      <c r="P81" s="76" t="str">
        <f t="shared" si="5"/>
        <v xml:space="preserve"> </v>
      </c>
      <c r="Q81" s="76" t="str">
        <f t="shared" si="5"/>
        <v xml:space="preserve"> </v>
      </c>
      <c r="R81" s="76" t="str">
        <f t="shared" si="5"/>
        <v xml:space="preserve"> </v>
      </c>
      <c r="S81" s="76" t="str">
        <f t="shared" si="5"/>
        <v xml:space="preserve"> </v>
      </c>
    </row>
    <row r="82" spans="5:19" hidden="1" x14ac:dyDescent="0.25">
      <c r="E82" s="76" t="str">
        <f t="shared" si="5"/>
        <v xml:space="preserve"> </v>
      </c>
      <c r="F82" s="76" t="str">
        <f t="shared" si="5"/>
        <v xml:space="preserve"> </v>
      </c>
      <c r="G82" s="76" t="str">
        <f t="shared" si="5"/>
        <v xml:space="preserve"> </v>
      </c>
      <c r="H82" s="76" t="str">
        <f t="shared" si="5"/>
        <v xml:space="preserve"> </v>
      </c>
      <c r="I82" s="76" t="str">
        <f t="shared" si="5"/>
        <v xml:space="preserve"> </v>
      </c>
      <c r="J82" s="76" t="str">
        <f t="shared" si="5"/>
        <v xml:space="preserve"> </v>
      </c>
      <c r="K82" s="76" t="str">
        <f t="shared" si="5"/>
        <v xml:space="preserve"> </v>
      </c>
      <c r="L82" s="76" t="str">
        <f t="shared" si="5"/>
        <v xml:space="preserve"> </v>
      </c>
      <c r="M82" s="76" t="str">
        <f t="shared" si="5"/>
        <v xml:space="preserve"> </v>
      </c>
      <c r="N82" s="76" t="str">
        <f t="shared" si="5"/>
        <v xml:space="preserve"> </v>
      </c>
      <c r="O82" s="76" t="str">
        <f t="shared" si="5"/>
        <v xml:space="preserve"> </v>
      </c>
      <c r="P82" s="76" t="str">
        <f t="shared" si="5"/>
        <v xml:space="preserve"> </v>
      </c>
      <c r="Q82" s="76" t="str">
        <f t="shared" si="5"/>
        <v xml:space="preserve"> </v>
      </c>
      <c r="R82" s="76" t="str">
        <f t="shared" si="5"/>
        <v xml:space="preserve"> </v>
      </c>
      <c r="S82" s="76" t="str">
        <f t="shared" si="5"/>
        <v xml:space="preserve"> </v>
      </c>
    </row>
    <row r="83" spans="5:19" hidden="1" x14ac:dyDescent="0.25">
      <c r="E83" s="76" t="str">
        <f t="shared" si="5"/>
        <v xml:space="preserve"> </v>
      </c>
      <c r="F83" s="76" t="str">
        <f t="shared" si="5"/>
        <v xml:space="preserve"> </v>
      </c>
      <c r="G83" s="76" t="str">
        <f t="shared" si="5"/>
        <v xml:space="preserve"> </v>
      </c>
      <c r="H83" s="76" t="str">
        <f t="shared" si="5"/>
        <v xml:space="preserve"> </v>
      </c>
      <c r="I83" s="76" t="str">
        <f t="shared" si="5"/>
        <v xml:space="preserve"> </v>
      </c>
      <c r="J83" s="76" t="str">
        <f t="shared" si="5"/>
        <v xml:space="preserve"> </v>
      </c>
      <c r="K83" s="76" t="str">
        <f t="shared" si="5"/>
        <v xml:space="preserve"> </v>
      </c>
      <c r="L83" s="76" t="str">
        <f t="shared" si="5"/>
        <v xml:space="preserve"> </v>
      </c>
      <c r="M83" s="76" t="str">
        <f t="shared" si="5"/>
        <v xml:space="preserve"> </v>
      </c>
      <c r="N83" s="76" t="str">
        <f t="shared" si="5"/>
        <v xml:space="preserve"> </v>
      </c>
      <c r="O83" s="76" t="str">
        <f t="shared" si="5"/>
        <v xml:space="preserve"> </v>
      </c>
      <c r="P83" s="76" t="str">
        <f t="shared" si="5"/>
        <v xml:space="preserve"> </v>
      </c>
      <c r="Q83" s="76" t="str">
        <f t="shared" si="5"/>
        <v xml:space="preserve"> </v>
      </c>
      <c r="R83" s="76" t="str">
        <f t="shared" si="5"/>
        <v xml:space="preserve"> </v>
      </c>
      <c r="S83" s="76" t="str">
        <f t="shared" si="5"/>
        <v xml:space="preserve"> </v>
      </c>
    </row>
    <row r="84" spans="5:19" hidden="1" x14ac:dyDescent="0.25">
      <c r="E84" s="76" t="str">
        <f t="shared" si="5"/>
        <v xml:space="preserve"> </v>
      </c>
      <c r="F84" s="76" t="str">
        <f t="shared" si="5"/>
        <v xml:space="preserve"> </v>
      </c>
      <c r="G84" s="76" t="str">
        <f t="shared" si="5"/>
        <v xml:space="preserve"> </v>
      </c>
      <c r="H84" s="76" t="str">
        <f t="shared" si="5"/>
        <v xml:space="preserve"> </v>
      </c>
      <c r="I84" s="76" t="str">
        <f t="shared" si="5"/>
        <v xml:space="preserve"> </v>
      </c>
      <c r="J84" s="76" t="str">
        <f t="shared" si="5"/>
        <v xml:space="preserve"> </v>
      </c>
      <c r="K84" s="76" t="str">
        <f t="shared" si="5"/>
        <v xml:space="preserve"> </v>
      </c>
      <c r="L84" s="76" t="str">
        <f t="shared" si="5"/>
        <v xml:space="preserve"> </v>
      </c>
      <c r="M84" s="76" t="str">
        <f t="shared" si="5"/>
        <v xml:space="preserve"> </v>
      </c>
      <c r="N84" s="76" t="str">
        <f t="shared" si="5"/>
        <v xml:space="preserve"> </v>
      </c>
      <c r="O84" s="76" t="str">
        <f t="shared" si="5"/>
        <v xml:space="preserve"> </v>
      </c>
      <c r="P84" s="76" t="str">
        <f t="shared" si="5"/>
        <v xml:space="preserve"> </v>
      </c>
      <c r="Q84" s="76" t="str">
        <f t="shared" si="5"/>
        <v xml:space="preserve"> </v>
      </c>
      <c r="R84" s="76" t="str">
        <f t="shared" si="5"/>
        <v xml:space="preserve"> </v>
      </c>
      <c r="S84" s="76" t="str">
        <f t="shared" si="5"/>
        <v xml:space="preserve"> </v>
      </c>
    </row>
    <row r="85" spans="5:19" hidden="1" x14ac:dyDescent="0.25">
      <c r="E85" s="76" t="str">
        <f t="shared" si="5"/>
        <v xml:space="preserve"> </v>
      </c>
      <c r="F85" s="76" t="str">
        <f t="shared" si="5"/>
        <v xml:space="preserve"> </v>
      </c>
      <c r="G85" s="76" t="str">
        <f t="shared" si="5"/>
        <v xml:space="preserve"> </v>
      </c>
      <c r="H85" s="76" t="str">
        <f t="shared" si="5"/>
        <v xml:space="preserve"> </v>
      </c>
      <c r="I85" s="76" t="str">
        <f t="shared" si="5"/>
        <v xml:space="preserve"> </v>
      </c>
      <c r="J85" s="76" t="str">
        <f t="shared" si="5"/>
        <v xml:space="preserve"> </v>
      </c>
      <c r="K85" s="76" t="str">
        <f t="shared" si="5"/>
        <v xml:space="preserve"> </v>
      </c>
      <c r="L85" s="76" t="str">
        <f t="shared" si="5"/>
        <v xml:space="preserve"> </v>
      </c>
      <c r="M85" s="76" t="str">
        <f t="shared" si="5"/>
        <v xml:space="preserve"> </v>
      </c>
      <c r="N85" s="76" t="str">
        <f t="shared" si="5"/>
        <v xml:space="preserve"> </v>
      </c>
      <c r="O85" s="76" t="str">
        <f t="shared" si="5"/>
        <v xml:space="preserve"> </v>
      </c>
      <c r="P85" s="76" t="str">
        <f t="shared" si="5"/>
        <v xml:space="preserve"> </v>
      </c>
      <c r="Q85" s="76" t="str">
        <f t="shared" si="5"/>
        <v xml:space="preserve"> </v>
      </c>
      <c r="R85" s="76" t="str">
        <f t="shared" si="5"/>
        <v xml:space="preserve"> </v>
      </c>
      <c r="S85" s="76" t="str">
        <f t="shared" si="5"/>
        <v xml:space="preserve"> </v>
      </c>
    </row>
    <row r="86" spans="5:19" hidden="1" x14ac:dyDescent="0.25">
      <c r="E86" s="76" t="str">
        <f t="shared" si="5"/>
        <v xml:space="preserve"> </v>
      </c>
      <c r="F86" s="76" t="str">
        <f t="shared" si="5"/>
        <v xml:space="preserve"> </v>
      </c>
      <c r="G86" s="76" t="str">
        <f t="shared" si="5"/>
        <v xml:space="preserve"> </v>
      </c>
      <c r="H86" s="76" t="str">
        <f t="shared" si="5"/>
        <v xml:space="preserve"> </v>
      </c>
      <c r="I86" s="76" t="str">
        <f t="shared" si="5"/>
        <v xml:space="preserve"> </v>
      </c>
      <c r="J86" s="76" t="str">
        <f t="shared" si="5"/>
        <v xml:space="preserve"> </v>
      </c>
      <c r="K86" s="76" t="str">
        <f t="shared" si="5"/>
        <v xml:space="preserve"> </v>
      </c>
      <c r="L86" s="76" t="str">
        <f t="shared" si="5"/>
        <v xml:space="preserve"> </v>
      </c>
      <c r="M86" s="76" t="str">
        <f t="shared" si="5"/>
        <v xml:space="preserve"> </v>
      </c>
      <c r="N86" s="76" t="str">
        <f t="shared" si="5"/>
        <v xml:space="preserve"> </v>
      </c>
      <c r="O86" s="76" t="str">
        <f t="shared" si="5"/>
        <v xml:space="preserve"> </v>
      </c>
      <c r="P86" s="76" t="str">
        <f t="shared" si="5"/>
        <v xml:space="preserve"> </v>
      </c>
      <c r="Q86" s="76" t="str">
        <f t="shared" si="5"/>
        <v xml:space="preserve"> </v>
      </c>
      <c r="R86" s="76" t="str">
        <f t="shared" si="5"/>
        <v xml:space="preserve"> </v>
      </c>
      <c r="S86" s="76" t="str">
        <f t="shared" si="5"/>
        <v xml:space="preserve"> </v>
      </c>
    </row>
    <row r="87" spans="5:19" hidden="1" x14ac:dyDescent="0.25">
      <c r="E87" s="76" t="str">
        <f t="shared" si="5"/>
        <v xml:space="preserve"> </v>
      </c>
      <c r="F87" s="76" t="str">
        <f t="shared" si="5"/>
        <v xml:space="preserve"> </v>
      </c>
      <c r="G87" s="76" t="str">
        <f t="shared" si="5"/>
        <v xml:space="preserve"> </v>
      </c>
      <c r="H87" s="76" t="str">
        <f t="shared" si="5"/>
        <v xml:space="preserve"> </v>
      </c>
      <c r="I87" s="76" t="str">
        <f t="shared" si="5"/>
        <v xml:space="preserve"> </v>
      </c>
      <c r="J87" s="76" t="str">
        <f t="shared" si="5"/>
        <v xml:space="preserve"> </v>
      </c>
      <c r="K87" s="76" t="str">
        <f t="shared" si="5"/>
        <v xml:space="preserve"> </v>
      </c>
      <c r="L87" s="76" t="str">
        <f t="shared" si="5"/>
        <v xml:space="preserve"> </v>
      </c>
      <c r="M87" s="76" t="str">
        <f t="shared" si="5"/>
        <v xml:space="preserve"> </v>
      </c>
      <c r="N87" s="76" t="str">
        <f t="shared" si="5"/>
        <v xml:space="preserve"> </v>
      </c>
      <c r="O87" s="76" t="str">
        <f t="shared" si="5"/>
        <v xml:space="preserve"> </v>
      </c>
      <c r="P87" s="76" t="str">
        <f t="shared" si="5"/>
        <v xml:space="preserve"> </v>
      </c>
      <c r="Q87" s="76" t="str">
        <f t="shared" si="5"/>
        <v xml:space="preserve"> </v>
      </c>
      <c r="R87" s="76" t="str">
        <f t="shared" si="5"/>
        <v xml:space="preserve"> </v>
      </c>
      <c r="S87" s="76" t="str">
        <f t="shared" si="5"/>
        <v xml:space="preserve"> </v>
      </c>
    </row>
    <row r="88" spans="5:19" hidden="1" x14ac:dyDescent="0.25">
      <c r="E88" s="76" t="str">
        <f t="shared" si="5"/>
        <v xml:space="preserve"> </v>
      </c>
      <c r="F88" s="76" t="str">
        <f t="shared" si="5"/>
        <v xml:space="preserve"> </v>
      </c>
      <c r="G88" s="76" t="str">
        <f t="shared" si="5"/>
        <v xml:space="preserve"> </v>
      </c>
      <c r="H88" s="76" t="str">
        <f t="shared" si="5"/>
        <v xml:space="preserve"> </v>
      </c>
      <c r="I88" s="76" t="str">
        <f t="shared" si="5"/>
        <v xml:space="preserve"> </v>
      </c>
      <c r="J88" s="76" t="str">
        <f t="shared" si="5"/>
        <v xml:space="preserve"> </v>
      </c>
      <c r="K88" s="76" t="str">
        <f t="shared" si="5"/>
        <v xml:space="preserve"> </v>
      </c>
      <c r="L88" s="76" t="str">
        <f t="shared" si="5"/>
        <v xml:space="preserve"> </v>
      </c>
      <c r="M88" s="76" t="str">
        <f t="shared" si="5"/>
        <v xml:space="preserve"> </v>
      </c>
      <c r="N88" s="76" t="str">
        <f t="shared" si="5"/>
        <v xml:space="preserve"> </v>
      </c>
      <c r="O88" s="76" t="str">
        <f t="shared" si="5"/>
        <v xml:space="preserve"> </v>
      </c>
      <c r="P88" s="76" t="str">
        <f t="shared" si="5"/>
        <v xml:space="preserve"> </v>
      </c>
      <c r="Q88" s="76" t="str">
        <f t="shared" si="5"/>
        <v xml:space="preserve"> </v>
      </c>
      <c r="R88" s="76" t="str">
        <f t="shared" si="5"/>
        <v xml:space="preserve"> </v>
      </c>
      <c r="S88" s="76" t="str">
        <f t="shared" si="5"/>
        <v xml:space="preserve"> </v>
      </c>
    </row>
    <row r="89" spans="5:19" hidden="1" x14ac:dyDescent="0.25">
      <c r="E89" s="76" t="str">
        <f t="shared" si="5"/>
        <v xml:space="preserve"> </v>
      </c>
      <c r="F89" s="76" t="str">
        <f t="shared" si="5"/>
        <v xml:space="preserve"> </v>
      </c>
      <c r="G89" s="76" t="str">
        <f t="shared" si="5"/>
        <v xml:space="preserve"> </v>
      </c>
      <c r="H89" s="76" t="str">
        <f t="shared" si="5"/>
        <v xml:space="preserve"> </v>
      </c>
      <c r="I89" s="76" t="str">
        <f t="shared" si="5"/>
        <v xml:space="preserve"> </v>
      </c>
      <c r="J89" s="76" t="str">
        <f t="shared" si="5"/>
        <v xml:space="preserve"> </v>
      </c>
      <c r="K89" s="76" t="str">
        <f t="shared" si="5"/>
        <v xml:space="preserve"> </v>
      </c>
      <c r="L89" s="76" t="str">
        <f t="shared" si="5"/>
        <v xml:space="preserve"> </v>
      </c>
      <c r="M89" s="76" t="str">
        <f t="shared" si="5"/>
        <v xml:space="preserve"> </v>
      </c>
      <c r="N89" s="76" t="str">
        <f t="shared" si="5"/>
        <v xml:space="preserve"> </v>
      </c>
      <c r="O89" s="76" t="str">
        <f t="shared" si="5"/>
        <v xml:space="preserve"> </v>
      </c>
      <c r="P89" s="76" t="str">
        <f t="shared" si="5"/>
        <v xml:space="preserve"> </v>
      </c>
      <c r="Q89" s="76" t="str">
        <f t="shared" si="5"/>
        <v xml:space="preserve"> </v>
      </c>
      <c r="R89" s="76" t="str">
        <f t="shared" si="5"/>
        <v xml:space="preserve"> </v>
      </c>
      <c r="S89" s="76" t="str">
        <f t="shared" si="5"/>
        <v xml:space="preserve"> </v>
      </c>
    </row>
    <row r="90" spans="5:19" hidden="1" x14ac:dyDescent="0.25">
      <c r="E90" s="76" t="str">
        <f t="shared" si="5"/>
        <v xml:space="preserve"> </v>
      </c>
      <c r="F90" s="76" t="str">
        <f t="shared" si="5"/>
        <v xml:space="preserve"> </v>
      </c>
      <c r="G90" s="76" t="str">
        <f t="shared" si="5"/>
        <v xml:space="preserve"> </v>
      </c>
      <c r="H90" s="76" t="str">
        <f t="shared" si="5"/>
        <v xml:space="preserve"> </v>
      </c>
      <c r="I90" s="76" t="str">
        <f t="shared" si="5"/>
        <v xml:space="preserve"> </v>
      </c>
      <c r="J90" s="76" t="str">
        <f t="shared" si="5"/>
        <v xml:space="preserve"> </v>
      </c>
      <c r="K90" s="76" t="str">
        <f t="shared" si="5"/>
        <v xml:space="preserve"> </v>
      </c>
      <c r="L90" s="76" t="str">
        <f t="shared" si="5"/>
        <v xml:space="preserve"> </v>
      </c>
      <c r="M90" s="76" t="str">
        <f t="shared" si="5"/>
        <v xml:space="preserve"> </v>
      </c>
      <c r="N90" s="76" t="str">
        <f t="shared" si="5"/>
        <v xml:space="preserve"> </v>
      </c>
      <c r="O90" s="76" t="str">
        <f t="shared" si="5"/>
        <v xml:space="preserve"> </v>
      </c>
      <c r="P90" s="76" t="str">
        <f t="shared" si="5"/>
        <v xml:space="preserve"> </v>
      </c>
      <c r="Q90" s="76" t="str">
        <f t="shared" si="5"/>
        <v xml:space="preserve"> </v>
      </c>
      <c r="R90" s="76" t="str">
        <f t="shared" si="5"/>
        <v xml:space="preserve"> </v>
      </c>
      <c r="S90" s="76" t="str">
        <f t="shared" si="5"/>
        <v xml:space="preserve"> </v>
      </c>
    </row>
    <row r="91" spans="5:19" hidden="1" x14ac:dyDescent="0.25">
      <c r="E91" s="76" t="str">
        <f t="shared" si="5"/>
        <v xml:space="preserve"> </v>
      </c>
      <c r="F91" s="76" t="str">
        <f t="shared" si="5"/>
        <v xml:space="preserve"> </v>
      </c>
      <c r="G91" s="76" t="str">
        <f t="shared" si="5"/>
        <v xml:space="preserve"> </v>
      </c>
      <c r="H91" s="76" t="str">
        <f t="shared" si="5"/>
        <v xml:space="preserve"> </v>
      </c>
      <c r="I91" s="76" t="str">
        <f t="shared" si="5"/>
        <v xml:space="preserve"> </v>
      </c>
      <c r="J91" s="76" t="str">
        <f t="shared" si="5"/>
        <v xml:space="preserve"> </v>
      </c>
      <c r="K91" s="76" t="str">
        <f t="shared" si="5"/>
        <v xml:space="preserve"> </v>
      </c>
      <c r="L91" s="76" t="str">
        <f t="shared" si="5"/>
        <v xml:space="preserve"> </v>
      </c>
      <c r="M91" s="76" t="str">
        <f t="shared" si="5"/>
        <v xml:space="preserve"> </v>
      </c>
      <c r="N91" s="76" t="str">
        <f t="shared" si="5"/>
        <v xml:space="preserve"> </v>
      </c>
      <c r="O91" s="76" t="str">
        <f t="shared" si="5"/>
        <v xml:space="preserve"> </v>
      </c>
      <c r="P91" s="76" t="str">
        <f t="shared" si="5"/>
        <v xml:space="preserve"> </v>
      </c>
      <c r="Q91" s="76" t="str">
        <f t="shared" si="5"/>
        <v xml:space="preserve"> </v>
      </c>
      <c r="R91" s="76" t="str">
        <f t="shared" si="5"/>
        <v xml:space="preserve"> </v>
      </c>
      <c r="S91" s="76" t="str">
        <f t="shared" si="5"/>
        <v xml:space="preserve"> </v>
      </c>
    </row>
    <row r="92" spans="5:19" hidden="1" x14ac:dyDescent="0.25">
      <c r="E92" s="76" t="str">
        <f t="shared" ref="E92:S106" si="6">IF(ISBLANK(E22)," ",IF(ISTEXT(E22),1,E22))</f>
        <v xml:space="preserve"> </v>
      </c>
      <c r="F92" s="76" t="str">
        <f t="shared" si="6"/>
        <v xml:space="preserve"> </v>
      </c>
      <c r="G92" s="76" t="str">
        <f t="shared" si="6"/>
        <v xml:space="preserve"> </v>
      </c>
      <c r="H92" s="76" t="str">
        <f t="shared" si="6"/>
        <v xml:space="preserve"> </v>
      </c>
      <c r="I92" s="76" t="str">
        <f t="shared" si="6"/>
        <v xml:space="preserve"> </v>
      </c>
      <c r="J92" s="76" t="str">
        <f t="shared" si="6"/>
        <v xml:space="preserve"> </v>
      </c>
      <c r="K92" s="76" t="str">
        <f t="shared" si="6"/>
        <v xml:space="preserve"> </v>
      </c>
      <c r="L92" s="76" t="str">
        <f t="shared" si="6"/>
        <v xml:space="preserve"> </v>
      </c>
      <c r="M92" s="76" t="str">
        <f t="shared" si="6"/>
        <v xml:space="preserve"> </v>
      </c>
      <c r="N92" s="76" t="str">
        <f t="shared" si="6"/>
        <v xml:space="preserve"> </v>
      </c>
      <c r="O92" s="76" t="str">
        <f t="shared" si="6"/>
        <v xml:space="preserve"> </v>
      </c>
      <c r="P92" s="76" t="str">
        <f t="shared" si="6"/>
        <v xml:space="preserve"> </v>
      </c>
      <c r="Q92" s="76" t="str">
        <f t="shared" si="6"/>
        <v xml:space="preserve"> </v>
      </c>
      <c r="R92" s="76" t="str">
        <f t="shared" si="6"/>
        <v xml:space="preserve"> </v>
      </c>
      <c r="S92" s="76" t="str">
        <f t="shared" si="6"/>
        <v xml:space="preserve"> </v>
      </c>
    </row>
    <row r="93" spans="5:19" hidden="1" x14ac:dyDescent="0.25">
      <c r="E93" s="76" t="str">
        <f t="shared" si="6"/>
        <v xml:space="preserve"> </v>
      </c>
      <c r="F93" s="76" t="str">
        <f t="shared" si="6"/>
        <v xml:space="preserve"> </v>
      </c>
      <c r="G93" s="76" t="str">
        <f t="shared" si="6"/>
        <v xml:space="preserve"> </v>
      </c>
      <c r="H93" s="76" t="str">
        <f t="shared" si="6"/>
        <v xml:space="preserve"> </v>
      </c>
      <c r="I93" s="76" t="str">
        <f t="shared" si="6"/>
        <v xml:space="preserve"> </v>
      </c>
      <c r="J93" s="76" t="str">
        <f t="shared" si="6"/>
        <v xml:space="preserve"> </v>
      </c>
      <c r="K93" s="76" t="str">
        <f t="shared" si="6"/>
        <v xml:space="preserve"> </v>
      </c>
      <c r="L93" s="76" t="str">
        <f t="shared" si="6"/>
        <v xml:space="preserve"> </v>
      </c>
      <c r="M93" s="76" t="str">
        <f t="shared" si="6"/>
        <v xml:space="preserve"> </v>
      </c>
      <c r="N93" s="76" t="str">
        <f t="shared" si="6"/>
        <v xml:space="preserve"> </v>
      </c>
      <c r="O93" s="76" t="str">
        <f t="shared" si="6"/>
        <v xml:space="preserve"> </v>
      </c>
      <c r="P93" s="76" t="str">
        <f t="shared" si="6"/>
        <v xml:space="preserve"> </v>
      </c>
      <c r="Q93" s="76" t="str">
        <f t="shared" si="6"/>
        <v xml:space="preserve"> </v>
      </c>
      <c r="R93" s="76" t="str">
        <f t="shared" si="6"/>
        <v xml:space="preserve"> </v>
      </c>
      <c r="S93" s="76" t="str">
        <f t="shared" si="6"/>
        <v xml:space="preserve"> </v>
      </c>
    </row>
    <row r="94" spans="5:19" hidden="1" x14ac:dyDescent="0.25">
      <c r="E94" s="76" t="str">
        <f t="shared" si="6"/>
        <v xml:space="preserve"> </v>
      </c>
      <c r="F94" s="76" t="str">
        <f t="shared" si="6"/>
        <v xml:space="preserve"> </v>
      </c>
      <c r="G94" s="76" t="str">
        <f t="shared" si="6"/>
        <v xml:space="preserve"> </v>
      </c>
      <c r="H94" s="76" t="str">
        <f t="shared" si="6"/>
        <v xml:space="preserve"> </v>
      </c>
      <c r="I94" s="76" t="str">
        <f t="shared" si="6"/>
        <v xml:space="preserve"> </v>
      </c>
      <c r="J94" s="76" t="str">
        <f t="shared" si="6"/>
        <v xml:space="preserve"> </v>
      </c>
      <c r="K94" s="76" t="str">
        <f t="shared" si="6"/>
        <v xml:space="preserve"> </v>
      </c>
      <c r="L94" s="76" t="str">
        <f t="shared" si="6"/>
        <v xml:space="preserve"> </v>
      </c>
      <c r="M94" s="76" t="str">
        <f t="shared" si="6"/>
        <v xml:space="preserve"> </v>
      </c>
      <c r="N94" s="76" t="str">
        <f t="shared" si="6"/>
        <v xml:space="preserve"> </v>
      </c>
      <c r="O94" s="76" t="str">
        <f t="shared" si="6"/>
        <v xml:space="preserve"> </v>
      </c>
      <c r="P94" s="76" t="str">
        <f t="shared" si="6"/>
        <v xml:space="preserve"> </v>
      </c>
      <c r="Q94" s="76" t="str">
        <f t="shared" si="6"/>
        <v xml:space="preserve"> </v>
      </c>
      <c r="R94" s="76" t="str">
        <f t="shared" si="6"/>
        <v xml:space="preserve"> </v>
      </c>
      <c r="S94" s="76" t="str">
        <f t="shared" si="6"/>
        <v xml:space="preserve"> </v>
      </c>
    </row>
    <row r="95" spans="5:19" hidden="1" x14ac:dyDescent="0.25">
      <c r="E95" s="76" t="str">
        <f t="shared" si="6"/>
        <v xml:space="preserve"> </v>
      </c>
      <c r="F95" s="76" t="str">
        <f t="shared" si="6"/>
        <v xml:space="preserve"> </v>
      </c>
      <c r="G95" s="76" t="str">
        <f t="shared" si="6"/>
        <v xml:space="preserve"> </v>
      </c>
      <c r="H95" s="76" t="str">
        <f t="shared" si="6"/>
        <v xml:space="preserve"> </v>
      </c>
      <c r="I95" s="76" t="str">
        <f t="shared" si="6"/>
        <v xml:space="preserve"> </v>
      </c>
      <c r="J95" s="76" t="str">
        <f t="shared" si="6"/>
        <v xml:space="preserve"> </v>
      </c>
      <c r="K95" s="76" t="str">
        <f t="shared" si="6"/>
        <v xml:space="preserve"> </v>
      </c>
      <c r="L95" s="76" t="str">
        <f t="shared" si="6"/>
        <v xml:space="preserve"> </v>
      </c>
      <c r="M95" s="76" t="str">
        <f t="shared" si="6"/>
        <v xml:space="preserve"> </v>
      </c>
      <c r="N95" s="76" t="str">
        <f t="shared" si="6"/>
        <v xml:space="preserve"> </v>
      </c>
      <c r="O95" s="76" t="str">
        <f t="shared" si="6"/>
        <v xml:space="preserve"> </v>
      </c>
      <c r="P95" s="76" t="str">
        <f t="shared" si="6"/>
        <v xml:space="preserve"> </v>
      </c>
      <c r="Q95" s="76" t="str">
        <f t="shared" si="6"/>
        <v xml:space="preserve"> </v>
      </c>
      <c r="R95" s="76" t="str">
        <f t="shared" si="6"/>
        <v xml:space="preserve"> </v>
      </c>
      <c r="S95" s="76" t="str">
        <f t="shared" si="6"/>
        <v xml:space="preserve"> </v>
      </c>
    </row>
    <row r="96" spans="5:19" hidden="1" x14ac:dyDescent="0.25">
      <c r="E96" s="76" t="str">
        <f t="shared" si="6"/>
        <v xml:space="preserve"> </v>
      </c>
      <c r="F96" s="76" t="str">
        <f t="shared" si="6"/>
        <v xml:space="preserve"> </v>
      </c>
      <c r="G96" s="76" t="str">
        <f t="shared" si="6"/>
        <v xml:space="preserve"> </v>
      </c>
      <c r="H96" s="76" t="str">
        <f t="shared" si="6"/>
        <v xml:space="preserve"> </v>
      </c>
      <c r="I96" s="76" t="str">
        <f t="shared" si="6"/>
        <v xml:space="preserve"> </v>
      </c>
      <c r="J96" s="76" t="str">
        <f t="shared" si="6"/>
        <v xml:space="preserve"> </v>
      </c>
      <c r="K96" s="76" t="str">
        <f t="shared" si="6"/>
        <v xml:space="preserve"> </v>
      </c>
      <c r="L96" s="76" t="str">
        <f t="shared" si="6"/>
        <v xml:space="preserve"> </v>
      </c>
      <c r="M96" s="76" t="str">
        <f t="shared" si="6"/>
        <v xml:space="preserve"> </v>
      </c>
      <c r="N96" s="76" t="str">
        <f t="shared" si="6"/>
        <v xml:space="preserve"> </v>
      </c>
      <c r="O96" s="76" t="str">
        <f t="shared" si="6"/>
        <v xml:space="preserve"> </v>
      </c>
      <c r="P96" s="76" t="str">
        <f t="shared" si="6"/>
        <v xml:space="preserve"> </v>
      </c>
      <c r="Q96" s="76" t="str">
        <f t="shared" si="6"/>
        <v xml:space="preserve"> </v>
      </c>
      <c r="R96" s="76" t="str">
        <f t="shared" si="6"/>
        <v xml:space="preserve"> </v>
      </c>
      <c r="S96" s="76" t="str">
        <f t="shared" si="6"/>
        <v xml:space="preserve"> </v>
      </c>
    </row>
    <row r="97" spans="3:19" hidden="1" x14ac:dyDescent="0.25">
      <c r="E97" s="76" t="str">
        <f t="shared" si="6"/>
        <v xml:space="preserve"> </v>
      </c>
      <c r="F97" s="76" t="str">
        <f t="shared" si="6"/>
        <v xml:space="preserve"> </v>
      </c>
      <c r="G97" s="76" t="str">
        <f t="shared" si="6"/>
        <v xml:space="preserve"> </v>
      </c>
      <c r="H97" s="76" t="str">
        <f t="shared" si="6"/>
        <v xml:space="preserve"> </v>
      </c>
      <c r="I97" s="76" t="str">
        <f t="shared" si="6"/>
        <v xml:space="preserve"> </v>
      </c>
      <c r="J97" s="76" t="str">
        <f t="shared" si="6"/>
        <v xml:space="preserve"> </v>
      </c>
      <c r="K97" s="76" t="str">
        <f t="shared" si="6"/>
        <v xml:space="preserve"> </v>
      </c>
      <c r="L97" s="76" t="str">
        <f t="shared" si="6"/>
        <v xml:space="preserve"> </v>
      </c>
      <c r="M97" s="76" t="str">
        <f t="shared" si="6"/>
        <v xml:space="preserve"> </v>
      </c>
      <c r="N97" s="76" t="str">
        <f t="shared" si="6"/>
        <v xml:space="preserve"> </v>
      </c>
      <c r="O97" s="76" t="str">
        <f t="shared" si="6"/>
        <v xml:space="preserve"> </v>
      </c>
      <c r="P97" s="76" t="str">
        <f t="shared" si="6"/>
        <v xml:space="preserve"> </v>
      </c>
      <c r="Q97" s="76" t="str">
        <f t="shared" si="6"/>
        <v xml:space="preserve"> </v>
      </c>
      <c r="R97" s="76" t="str">
        <f t="shared" si="6"/>
        <v xml:space="preserve"> </v>
      </c>
      <c r="S97" s="76" t="str">
        <f t="shared" si="6"/>
        <v xml:space="preserve"> </v>
      </c>
    </row>
    <row r="98" spans="3:19" hidden="1" x14ac:dyDescent="0.25">
      <c r="E98" s="76" t="str">
        <f t="shared" si="6"/>
        <v xml:space="preserve"> </v>
      </c>
      <c r="F98" s="76" t="str">
        <f t="shared" si="6"/>
        <v xml:space="preserve"> </v>
      </c>
      <c r="G98" s="76" t="str">
        <f t="shared" si="6"/>
        <v xml:space="preserve"> </v>
      </c>
      <c r="H98" s="76" t="str">
        <f t="shared" si="6"/>
        <v xml:space="preserve"> </v>
      </c>
      <c r="I98" s="76" t="str">
        <f t="shared" si="6"/>
        <v xml:space="preserve"> </v>
      </c>
      <c r="J98" s="76" t="str">
        <f t="shared" si="6"/>
        <v xml:space="preserve"> </v>
      </c>
      <c r="K98" s="76" t="str">
        <f t="shared" si="6"/>
        <v xml:space="preserve"> </v>
      </c>
      <c r="L98" s="76" t="str">
        <f t="shared" si="6"/>
        <v xml:space="preserve"> </v>
      </c>
      <c r="M98" s="76" t="str">
        <f t="shared" si="6"/>
        <v xml:space="preserve"> </v>
      </c>
      <c r="N98" s="76" t="str">
        <f t="shared" si="6"/>
        <v xml:space="preserve"> </v>
      </c>
      <c r="O98" s="76" t="str">
        <f t="shared" si="6"/>
        <v xml:space="preserve"> </v>
      </c>
      <c r="P98" s="76" t="str">
        <f t="shared" si="6"/>
        <v xml:space="preserve"> </v>
      </c>
      <c r="Q98" s="76" t="str">
        <f t="shared" si="6"/>
        <v xml:space="preserve"> </v>
      </c>
      <c r="R98" s="76" t="str">
        <f t="shared" si="6"/>
        <v xml:space="preserve"> </v>
      </c>
      <c r="S98" s="76" t="str">
        <f t="shared" si="6"/>
        <v xml:space="preserve"> </v>
      </c>
    </row>
    <row r="99" spans="3:19" hidden="1" x14ac:dyDescent="0.25">
      <c r="E99" s="76" t="str">
        <f t="shared" si="6"/>
        <v xml:space="preserve"> </v>
      </c>
      <c r="F99" s="76" t="str">
        <f t="shared" si="6"/>
        <v xml:space="preserve"> </v>
      </c>
      <c r="G99" s="76" t="str">
        <f t="shared" si="6"/>
        <v xml:space="preserve"> </v>
      </c>
      <c r="H99" s="76" t="str">
        <f t="shared" si="6"/>
        <v xml:space="preserve"> </v>
      </c>
      <c r="I99" s="76" t="str">
        <f t="shared" si="6"/>
        <v xml:space="preserve"> </v>
      </c>
      <c r="J99" s="76" t="str">
        <f t="shared" si="6"/>
        <v xml:space="preserve"> </v>
      </c>
      <c r="K99" s="76" t="str">
        <f t="shared" si="6"/>
        <v xml:space="preserve"> </v>
      </c>
      <c r="L99" s="76" t="str">
        <f t="shared" si="6"/>
        <v xml:space="preserve"> </v>
      </c>
      <c r="M99" s="76" t="str">
        <f t="shared" si="6"/>
        <v xml:space="preserve"> </v>
      </c>
      <c r="N99" s="76" t="str">
        <f t="shared" si="6"/>
        <v xml:space="preserve"> </v>
      </c>
      <c r="O99" s="76" t="str">
        <f t="shared" si="6"/>
        <v xml:space="preserve"> </v>
      </c>
      <c r="P99" s="76" t="str">
        <f t="shared" si="6"/>
        <v xml:space="preserve"> </v>
      </c>
      <c r="Q99" s="76" t="str">
        <f t="shared" si="6"/>
        <v xml:space="preserve"> </v>
      </c>
      <c r="R99" s="76" t="str">
        <f t="shared" si="6"/>
        <v xml:space="preserve"> </v>
      </c>
      <c r="S99" s="76" t="str">
        <f t="shared" si="6"/>
        <v xml:space="preserve"> </v>
      </c>
    </row>
    <row r="100" spans="3:19" hidden="1" x14ac:dyDescent="0.25">
      <c r="E100" s="76" t="str">
        <f t="shared" si="6"/>
        <v xml:space="preserve"> </v>
      </c>
      <c r="F100" s="76" t="str">
        <f t="shared" si="6"/>
        <v xml:space="preserve"> </v>
      </c>
      <c r="G100" s="76" t="str">
        <f t="shared" si="6"/>
        <v xml:space="preserve"> </v>
      </c>
      <c r="H100" s="76" t="str">
        <f t="shared" si="6"/>
        <v xml:space="preserve"> </v>
      </c>
      <c r="I100" s="76" t="str">
        <f t="shared" si="6"/>
        <v xml:space="preserve"> </v>
      </c>
      <c r="J100" s="76" t="str">
        <f t="shared" si="6"/>
        <v xml:space="preserve"> </v>
      </c>
      <c r="K100" s="76" t="str">
        <f t="shared" si="6"/>
        <v xml:space="preserve"> </v>
      </c>
      <c r="L100" s="76" t="str">
        <f t="shared" si="6"/>
        <v xml:space="preserve"> </v>
      </c>
      <c r="M100" s="76" t="str">
        <f t="shared" si="6"/>
        <v xml:space="preserve"> </v>
      </c>
      <c r="N100" s="76" t="str">
        <f t="shared" si="6"/>
        <v xml:space="preserve"> </v>
      </c>
      <c r="O100" s="76" t="str">
        <f t="shared" si="6"/>
        <v xml:space="preserve"> </v>
      </c>
      <c r="P100" s="76" t="str">
        <f t="shared" si="6"/>
        <v xml:space="preserve"> </v>
      </c>
      <c r="Q100" s="76" t="str">
        <f t="shared" si="6"/>
        <v xml:space="preserve"> </v>
      </c>
      <c r="R100" s="76" t="str">
        <f t="shared" si="6"/>
        <v xml:space="preserve"> </v>
      </c>
      <c r="S100" s="76" t="str">
        <f t="shared" si="6"/>
        <v xml:space="preserve"> </v>
      </c>
    </row>
    <row r="101" spans="3:19" hidden="1" x14ac:dyDescent="0.25">
      <c r="E101" s="76" t="str">
        <f t="shared" si="6"/>
        <v xml:space="preserve"> </v>
      </c>
      <c r="F101" s="76" t="str">
        <f t="shared" si="6"/>
        <v xml:space="preserve"> </v>
      </c>
      <c r="G101" s="76" t="str">
        <f t="shared" si="6"/>
        <v xml:space="preserve"> </v>
      </c>
      <c r="H101" s="76" t="str">
        <f t="shared" si="6"/>
        <v xml:space="preserve"> </v>
      </c>
      <c r="I101" s="76" t="str">
        <f t="shared" si="6"/>
        <v xml:space="preserve"> </v>
      </c>
      <c r="J101" s="76" t="str">
        <f t="shared" si="6"/>
        <v xml:space="preserve"> </v>
      </c>
      <c r="K101" s="76" t="str">
        <f t="shared" si="6"/>
        <v xml:space="preserve"> </v>
      </c>
      <c r="L101" s="76" t="str">
        <f t="shared" si="6"/>
        <v xml:space="preserve"> </v>
      </c>
      <c r="M101" s="76" t="str">
        <f t="shared" si="6"/>
        <v xml:space="preserve"> </v>
      </c>
      <c r="N101" s="76" t="str">
        <f t="shared" si="6"/>
        <v xml:space="preserve"> </v>
      </c>
      <c r="O101" s="76" t="str">
        <f t="shared" si="6"/>
        <v xml:space="preserve"> </v>
      </c>
      <c r="P101" s="76" t="str">
        <f t="shared" si="6"/>
        <v xml:space="preserve"> </v>
      </c>
      <c r="Q101" s="76" t="str">
        <f t="shared" si="6"/>
        <v xml:space="preserve"> </v>
      </c>
      <c r="R101" s="76" t="str">
        <f t="shared" si="6"/>
        <v xml:space="preserve"> </v>
      </c>
      <c r="S101" s="76" t="str">
        <f t="shared" si="6"/>
        <v xml:space="preserve"> </v>
      </c>
    </row>
    <row r="102" spans="3:19" hidden="1" x14ac:dyDescent="0.25">
      <c r="E102" s="76" t="str">
        <f t="shared" si="6"/>
        <v xml:space="preserve"> </v>
      </c>
      <c r="F102" s="76" t="str">
        <f t="shared" si="6"/>
        <v xml:space="preserve"> </v>
      </c>
      <c r="G102" s="76" t="str">
        <f t="shared" si="6"/>
        <v xml:space="preserve"> </v>
      </c>
      <c r="H102" s="76" t="str">
        <f t="shared" si="6"/>
        <v xml:space="preserve"> </v>
      </c>
      <c r="I102" s="76" t="str">
        <f t="shared" si="6"/>
        <v xml:space="preserve"> </v>
      </c>
      <c r="J102" s="76" t="str">
        <f t="shared" si="6"/>
        <v xml:space="preserve"> </v>
      </c>
      <c r="K102" s="76" t="str">
        <f t="shared" si="6"/>
        <v xml:space="preserve"> </v>
      </c>
      <c r="L102" s="76" t="str">
        <f t="shared" si="6"/>
        <v xml:space="preserve"> </v>
      </c>
      <c r="M102" s="76" t="str">
        <f t="shared" si="6"/>
        <v xml:space="preserve"> </v>
      </c>
      <c r="N102" s="76" t="str">
        <f t="shared" si="6"/>
        <v xml:space="preserve"> </v>
      </c>
      <c r="O102" s="76" t="str">
        <f t="shared" si="6"/>
        <v xml:space="preserve"> </v>
      </c>
      <c r="P102" s="76" t="str">
        <f t="shared" si="6"/>
        <v xml:space="preserve"> </v>
      </c>
      <c r="Q102" s="76" t="str">
        <f t="shared" si="6"/>
        <v xml:space="preserve"> </v>
      </c>
      <c r="R102" s="76" t="str">
        <f t="shared" si="6"/>
        <v xml:space="preserve"> </v>
      </c>
      <c r="S102" s="76" t="str">
        <f t="shared" si="6"/>
        <v xml:space="preserve"> </v>
      </c>
    </row>
    <row r="103" spans="3:19" hidden="1" x14ac:dyDescent="0.25">
      <c r="E103" s="76" t="str">
        <f t="shared" si="6"/>
        <v xml:space="preserve"> </v>
      </c>
      <c r="F103" s="76" t="str">
        <f t="shared" si="6"/>
        <v xml:space="preserve"> </v>
      </c>
      <c r="G103" s="76" t="str">
        <f t="shared" si="6"/>
        <v xml:space="preserve"> </v>
      </c>
      <c r="H103" s="76" t="str">
        <f t="shared" si="6"/>
        <v xml:space="preserve"> </v>
      </c>
      <c r="I103" s="76" t="str">
        <f t="shared" si="6"/>
        <v xml:space="preserve"> </v>
      </c>
      <c r="J103" s="76" t="str">
        <f t="shared" si="6"/>
        <v xml:space="preserve"> </v>
      </c>
      <c r="K103" s="76" t="str">
        <f t="shared" si="6"/>
        <v xml:space="preserve"> </v>
      </c>
      <c r="L103" s="76" t="str">
        <f t="shared" si="6"/>
        <v xml:space="preserve"> </v>
      </c>
      <c r="M103" s="76" t="str">
        <f t="shared" si="6"/>
        <v xml:space="preserve"> </v>
      </c>
      <c r="N103" s="76" t="str">
        <f t="shared" si="6"/>
        <v xml:space="preserve"> </v>
      </c>
      <c r="O103" s="76" t="str">
        <f t="shared" si="6"/>
        <v xml:space="preserve"> </v>
      </c>
      <c r="P103" s="76" t="str">
        <f t="shared" si="6"/>
        <v xml:space="preserve"> </v>
      </c>
      <c r="Q103" s="76" t="str">
        <f t="shared" si="6"/>
        <v xml:space="preserve"> </v>
      </c>
      <c r="R103" s="76" t="str">
        <f t="shared" si="6"/>
        <v xml:space="preserve"> </v>
      </c>
      <c r="S103" s="76" t="str">
        <f t="shared" si="6"/>
        <v xml:space="preserve"> </v>
      </c>
    </row>
    <row r="104" spans="3:19" hidden="1" x14ac:dyDescent="0.25">
      <c r="E104" s="76" t="str">
        <f t="shared" si="6"/>
        <v xml:space="preserve"> </v>
      </c>
      <c r="F104" s="76" t="str">
        <f t="shared" si="6"/>
        <v xml:space="preserve"> </v>
      </c>
      <c r="G104" s="76" t="str">
        <f t="shared" si="6"/>
        <v xml:space="preserve"> </v>
      </c>
      <c r="H104" s="76" t="str">
        <f t="shared" si="6"/>
        <v xml:space="preserve"> </v>
      </c>
      <c r="I104" s="76" t="str">
        <f t="shared" si="6"/>
        <v xml:space="preserve"> </v>
      </c>
      <c r="J104" s="76" t="str">
        <f t="shared" si="6"/>
        <v xml:space="preserve"> </v>
      </c>
      <c r="K104" s="76" t="str">
        <f t="shared" si="6"/>
        <v xml:space="preserve"> </v>
      </c>
      <c r="L104" s="76" t="str">
        <f t="shared" si="6"/>
        <v xml:space="preserve"> </v>
      </c>
      <c r="M104" s="76" t="str">
        <f t="shared" si="6"/>
        <v xml:space="preserve"> </v>
      </c>
      <c r="N104" s="76" t="str">
        <f t="shared" si="6"/>
        <v xml:space="preserve"> </v>
      </c>
      <c r="O104" s="76" t="str">
        <f t="shared" si="6"/>
        <v xml:space="preserve"> </v>
      </c>
      <c r="P104" s="76" t="str">
        <f t="shared" si="6"/>
        <v xml:space="preserve"> </v>
      </c>
      <c r="Q104" s="76" t="str">
        <f t="shared" si="6"/>
        <v xml:space="preserve"> </v>
      </c>
      <c r="R104" s="76" t="str">
        <f t="shared" si="6"/>
        <v xml:space="preserve"> </v>
      </c>
      <c r="S104" s="76" t="str">
        <f t="shared" si="6"/>
        <v xml:space="preserve"> </v>
      </c>
    </row>
    <row r="105" spans="3:19" hidden="1" x14ac:dyDescent="0.25">
      <c r="E105" s="76" t="str">
        <f t="shared" si="6"/>
        <v xml:space="preserve"> </v>
      </c>
      <c r="F105" s="76" t="str">
        <f t="shared" si="6"/>
        <v xml:space="preserve"> </v>
      </c>
      <c r="G105" s="76" t="str">
        <f t="shared" si="6"/>
        <v xml:space="preserve"> </v>
      </c>
      <c r="H105" s="76" t="str">
        <f t="shared" si="6"/>
        <v xml:space="preserve"> </v>
      </c>
      <c r="I105" s="76" t="str">
        <f t="shared" si="6"/>
        <v xml:space="preserve"> </v>
      </c>
      <c r="J105" s="76" t="str">
        <f t="shared" si="6"/>
        <v xml:space="preserve"> </v>
      </c>
      <c r="K105" s="76" t="str">
        <f t="shared" si="6"/>
        <v xml:space="preserve"> </v>
      </c>
      <c r="L105" s="76" t="str">
        <f t="shared" si="6"/>
        <v xml:space="preserve"> </v>
      </c>
      <c r="M105" s="76" t="str">
        <f t="shared" si="6"/>
        <v xml:space="preserve"> </v>
      </c>
      <c r="N105" s="76" t="str">
        <f t="shared" si="6"/>
        <v xml:space="preserve"> </v>
      </c>
      <c r="O105" s="76" t="str">
        <f t="shared" si="6"/>
        <v xml:space="preserve"> </v>
      </c>
      <c r="P105" s="76" t="str">
        <f t="shared" si="6"/>
        <v xml:space="preserve"> </v>
      </c>
      <c r="Q105" s="76" t="str">
        <f t="shared" si="6"/>
        <v xml:space="preserve"> </v>
      </c>
      <c r="R105" s="76" t="str">
        <f t="shared" si="6"/>
        <v xml:space="preserve"> </v>
      </c>
      <c r="S105" s="76" t="str">
        <f t="shared" si="6"/>
        <v xml:space="preserve"> </v>
      </c>
    </row>
    <row r="106" spans="3:19" hidden="1" x14ac:dyDescent="0.25">
      <c r="E106" s="76" t="str">
        <f t="shared" si="6"/>
        <v xml:space="preserve"> </v>
      </c>
      <c r="F106" s="76" t="str">
        <f t="shared" si="6"/>
        <v xml:space="preserve"> </v>
      </c>
      <c r="G106" s="76" t="str">
        <f t="shared" si="6"/>
        <v xml:space="preserve"> </v>
      </c>
      <c r="H106" s="76" t="str">
        <f t="shared" si="6"/>
        <v xml:space="preserve"> </v>
      </c>
      <c r="I106" s="76" t="str">
        <f t="shared" si="6"/>
        <v xml:space="preserve"> </v>
      </c>
      <c r="J106" s="76" t="str">
        <f t="shared" si="6"/>
        <v xml:space="preserve"> </v>
      </c>
      <c r="K106" s="76" t="str">
        <f t="shared" si="6"/>
        <v xml:space="preserve"> </v>
      </c>
      <c r="L106" s="76" t="str">
        <f t="shared" si="6"/>
        <v xml:space="preserve"> </v>
      </c>
      <c r="M106" s="76" t="str">
        <f t="shared" si="6"/>
        <v xml:space="preserve"> </v>
      </c>
      <c r="N106" s="76" t="str">
        <f t="shared" si="6"/>
        <v xml:space="preserve"> </v>
      </c>
      <c r="O106" s="76" t="str">
        <f t="shared" si="6"/>
        <v xml:space="preserve"> </v>
      </c>
      <c r="P106" s="76" t="str">
        <f t="shared" si="6"/>
        <v xml:space="preserve"> </v>
      </c>
      <c r="Q106" s="76" t="str">
        <f t="shared" si="6"/>
        <v xml:space="preserve"> </v>
      </c>
      <c r="R106" s="76" t="str">
        <f t="shared" si="6"/>
        <v xml:space="preserve"> </v>
      </c>
      <c r="S106" s="76" t="str">
        <f t="shared" si="6"/>
        <v xml:space="preserve"> </v>
      </c>
    </row>
    <row r="107" spans="3:19" hidden="1" x14ac:dyDescent="0.25">
      <c r="C107" s="1" t="s">
        <v>390</v>
      </c>
      <c r="E107" s="77" t="str">
        <f>IF(LEFT(E6,1)="&lt;",VALUE(SUBSTITUTE(E6,"&lt;","")), IF(ISBLANK(E6)," ",E6))</f>
        <v xml:space="preserve"> </v>
      </c>
      <c r="F107" s="77" t="str">
        <f t="shared" ref="F107:S107" si="7">IF(LEFT(F6,1)="&lt;",VALUE(SUBSTITUTE(F6,"&lt;","")), IF(ISBLANK(F6)," ",F6))</f>
        <v xml:space="preserve"> </v>
      </c>
      <c r="G107" s="77" t="str">
        <f t="shared" si="7"/>
        <v xml:space="preserve"> </v>
      </c>
      <c r="H107" s="77" t="str">
        <f t="shared" si="7"/>
        <v xml:space="preserve"> </v>
      </c>
      <c r="I107" s="77" t="str">
        <f t="shared" si="7"/>
        <v xml:space="preserve"> </v>
      </c>
      <c r="J107" s="77" t="str">
        <f t="shared" si="7"/>
        <v xml:space="preserve"> </v>
      </c>
      <c r="K107" s="77" t="str">
        <f t="shared" si="7"/>
        <v xml:space="preserve"> </v>
      </c>
      <c r="L107" s="77" t="str">
        <f t="shared" si="7"/>
        <v xml:space="preserve"> </v>
      </c>
      <c r="M107" s="77" t="str">
        <f t="shared" si="7"/>
        <v xml:space="preserve"> </v>
      </c>
      <c r="N107" s="77" t="str">
        <f t="shared" si="7"/>
        <v xml:space="preserve"> </v>
      </c>
      <c r="O107" s="77" t="str">
        <f t="shared" si="7"/>
        <v xml:space="preserve"> </v>
      </c>
      <c r="P107" s="77" t="str">
        <f t="shared" si="7"/>
        <v xml:space="preserve"> </v>
      </c>
      <c r="Q107" s="77" t="str">
        <f t="shared" si="7"/>
        <v xml:space="preserve"> </v>
      </c>
      <c r="R107" s="77" t="str">
        <f t="shared" si="7"/>
        <v xml:space="preserve"> </v>
      </c>
      <c r="S107" s="77" t="str">
        <f t="shared" si="7"/>
        <v xml:space="preserve"> </v>
      </c>
    </row>
    <row r="108" spans="3:19" hidden="1" x14ac:dyDescent="0.25">
      <c r="E108" s="77" t="str">
        <f>IF(LEFT(E7,1)="&lt;",VALUE(SUBSTITUTE(E7,"&lt;","")), IF(ISBLANK(E7)," ",E7))</f>
        <v xml:space="preserve"> </v>
      </c>
      <c r="F108" s="77" t="str">
        <f t="shared" ref="F108:S108" si="8">IF(LEFT(F7,1)="&lt;",VALUE(SUBSTITUTE(F7,"&lt;","")), IF(ISBLANK(F7)," ",F7))</f>
        <v xml:space="preserve"> </v>
      </c>
      <c r="G108" s="77" t="str">
        <f t="shared" si="8"/>
        <v xml:space="preserve"> </v>
      </c>
      <c r="H108" s="77" t="str">
        <f t="shared" si="8"/>
        <v xml:space="preserve"> </v>
      </c>
      <c r="I108" s="77" t="str">
        <f t="shared" si="8"/>
        <v xml:space="preserve"> </v>
      </c>
      <c r="J108" s="77" t="str">
        <f t="shared" si="8"/>
        <v xml:space="preserve"> </v>
      </c>
      <c r="K108" s="77" t="str">
        <f t="shared" si="8"/>
        <v xml:space="preserve"> </v>
      </c>
      <c r="L108" s="77" t="str">
        <f t="shared" si="8"/>
        <v xml:space="preserve"> </v>
      </c>
      <c r="M108" s="77" t="str">
        <f t="shared" si="8"/>
        <v xml:space="preserve"> </v>
      </c>
      <c r="N108" s="77" t="str">
        <f t="shared" si="8"/>
        <v xml:space="preserve"> </v>
      </c>
      <c r="O108" s="77" t="str">
        <f t="shared" si="8"/>
        <v xml:space="preserve"> </v>
      </c>
      <c r="P108" s="77" t="str">
        <f t="shared" si="8"/>
        <v xml:space="preserve"> </v>
      </c>
      <c r="Q108" s="77" t="str">
        <f t="shared" si="8"/>
        <v xml:space="preserve"> </v>
      </c>
      <c r="R108" s="77" t="str">
        <f t="shared" si="8"/>
        <v xml:space="preserve"> </v>
      </c>
      <c r="S108" s="77" t="str">
        <f t="shared" si="8"/>
        <v xml:space="preserve"> </v>
      </c>
    </row>
    <row r="109" spans="3:19" hidden="1" x14ac:dyDescent="0.25">
      <c r="E109" s="77" t="str">
        <f>IF(LEFT(E8,1)="&lt;",VALUE(SUBSTITUTE(E8,"&lt;","")), IF(ISBLANK(E8)," ",E8))</f>
        <v xml:space="preserve"> </v>
      </c>
      <c r="F109" s="77" t="str">
        <f t="shared" ref="F109:S109" si="9">IF(LEFT(F8,1)="&lt;",VALUE(SUBSTITUTE(F8,"&lt;","")), IF(ISBLANK(F8)," ",F8))</f>
        <v xml:space="preserve"> </v>
      </c>
      <c r="G109" s="77" t="str">
        <f t="shared" si="9"/>
        <v xml:space="preserve"> </v>
      </c>
      <c r="H109" s="77" t="str">
        <f t="shared" si="9"/>
        <v xml:space="preserve"> </v>
      </c>
      <c r="I109" s="77" t="str">
        <f t="shared" si="9"/>
        <v xml:space="preserve"> </v>
      </c>
      <c r="J109" s="77" t="str">
        <f t="shared" si="9"/>
        <v xml:space="preserve"> </v>
      </c>
      <c r="K109" s="77" t="str">
        <f t="shared" si="9"/>
        <v xml:space="preserve"> </v>
      </c>
      <c r="L109" s="77" t="str">
        <f t="shared" si="9"/>
        <v xml:space="preserve"> </v>
      </c>
      <c r="M109" s="77" t="str">
        <f t="shared" si="9"/>
        <v xml:space="preserve"> </v>
      </c>
      <c r="N109" s="77" t="str">
        <f t="shared" si="9"/>
        <v xml:space="preserve"> </v>
      </c>
      <c r="O109" s="77" t="str">
        <f t="shared" si="9"/>
        <v xml:space="preserve"> </v>
      </c>
      <c r="P109" s="77" t="str">
        <f t="shared" si="9"/>
        <v xml:space="preserve"> </v>
      </c>
      <c r="Q109" s="77" t="str">
        <f t="shared" si="9"/>
        <v xml:space="preserve"> </v>
      </c>
      <c r="R109" s="77" t="str">
        <f t="shared" si="9"/>
        <v xml:space="preserve"> </v>
      </c>
      <c r="S109" s="77" t="str">
        <f t="shared" si="9"/>
        <v xml:space="preserve"> </v>
      </c>
    </row>
    <row r="110" spans="3:19" hidden="1" x14ac:dyDescent="0.25">
      <c r="E110" s="77" t="str">
        <f>IF(LEFT(E9,1)="&lt;",VALUE(SUBSTITUTE(E9,"&lt;","")), IF(ISBLANK(E9)," ",E9))</f>
        <v xml:space="preserve"> </v>
      </c>
      <c r="F110" s="77" t="str">
        <f t="shared" ref="F110:S110" si="10">IF(LEFT(F9,1)="&lt;",VALUE(SUBSTITUTE(F9,"&lt;","")), IF(ISBLANK(F9)," ",F9))</f>
        <v xml:space="preserve"> </v>
      </c>
      <c r="G110" s="77" t="str">
        <f t="shared" si="10"/>
        <v xml:space="preserve"> </v>
      </c>
      <c r="H110" s="77" t="str">
        <f t="shared" si="10"/>
        <v xml:space="preserve"> </v>
      </c>
      <c r="I110" s="77" t="str">
        <f t="shared" si="10"/>
        <v xml:space="preserve"> </v>
      </c>
      <c r="J110" s="77" t="str">
        <f t="shared" si="10"/>
        <v xml:space="preserve"> </v>
      </c>
      <c r="K110" s="77" t="str">
        <f t="shared" si="10"/>
        <v xml:space="preserve"> </v>
      </c>
      <c r="L110" s="77" t="str">
        <f t="shared" si="10"/>
        <v xml:space="preserve"> </v>
      </c>
      <c r="M110" s="77" t="str">
        <f t="shared" si="10"/>
        <v xml:space="preserve"> </v>
      </c>
      <c r="N110" s="77" t="str">
        <f t="shared" si="10"/>
        <v xml:space="preserve"> </v>
      </c>
      <c r="O110" s="77" t="str">
        <f t="shared" si="10"/>
        <v xml:space="preserve"> </v>
      </c>
      <c r="P110" s="77" t="str">
        <f t="shared" si="10"/>
        <v xml:space="preserve"> </v>
      </c>
      <c r="Q110" s="77" t="str">
        <f t="shared" si="10"/>
        <v xml:space="preserve"> </v>
      </c>
      <c r="R110" s="77" t="str">
        <f t="shared" si="10"/>
        <v xml:space="preserve"> </v>
      </c>
      <c r="S110" s="77" t="str">
        <f t="shared" si="10"/>
        <v xml:space="preserve"> </v>
      </c>
    </row>
    <row r="111" spans="3:19" hidden="1" x14ac:dyDescent="0.25">
      <c r="E111" s="77" t="str">
        <f>IF(LEFT(E10,1)="&lt;",VALUE(SUBSTITUTE(E10,"&lt;","")), IF(ISBLANK(E10)," ",E10))</f>
        <v xml:space="preserve"> </v>
      </c>
      <c r="F111" s="77" t="str">
        <f t="shared" ref="F111:S111" si="11">IF(LEFT(F10,1)="&lt;",VALUE(SUBSTITUTE(F10,"&lt;","")), IF(ISBLANK(F10)," ",F10))</f>
        <v xml:space="preserve"> </v>
      </c>
      <c r="G111" s="77" t="str">
        <f t="shared" si="11"/>
        <v xml:space="preserve"> </v>
      </c>
      <c r="H111" s="77" t="str">
        <f t="shared" si="11"/>
        <v xml:space="preserve"> </v>
      </c>
      <c r="I111" s="77" t="str">
        <f t="shared" si="11"/>
        <v xml:space="preserve"> </v>
      </c>
      <c r="J111" s="77" t="str">
        <f t="shared" si="11"/>
        <v xml:space="preserve"> </v>
      </c>
      <c r="K111" s="77" t="str">
        <f t="shared" si="11"/>
        <v xml:space="preserve"> </v>
      </c>
      <c r="L111" s="77" t="str">
        <f t="shared" si="11"/>
        <v xml:space="preserve"> </v>
      </c>
      <c r="M111" s="77" t="str">
        <f t="shared" si="11"/>
        <v xml:space="preserve"> </v>
      </c>
      <c r="N111" s="77" t="str">
        <f t="shared" si="11"/>
        <v xml:space="preserve"> </v>
      </c>
      <c r="O111" s="77" t="str">
        <f t="shared" si="11"/>
        <v xml:space="preserve"> </v>
      </c>
      <c r="P111" s="77" t="str">
        <f t="shared" si="11"/>
        <v xml:space="preserve"> </v>
      </c>
      <c r="Q111" s="77" t="str">
        <f t="shared" si="11"/>
        <v xml:space="preserve"> </v>
      </c>
      <c r="R111" s="77" t="str">
        <f t="shared" si="11"/>
        <v xml:space="preserve"> </v>
      </c>
      <c r="S111" s="77" t="str">
        <f t="shared" si="11"/>
        <v xml:space="preserve"> </v>
      </c>
    </row>
    <row r="112" spans="3:19" hidden="1" x14ac:dyDescent="0.25">
      <c r="E112" s="77" t="str">
        <f t="shared" ref="E112:S137" si="12">IF(LEFT(E11,1)="&lt;",VALUE(SUBSTITUTE(E11,"&lt;","")), IF(ISBLANK(E11)," ",E11))</f>
        <v xml:space="preserve"> </v>
      </c>
      <c r="F112" s="77" t="str">
        <f t="shared" si="12"/>
        <v xml:space="preserve"> </v>
      </c>
      <c r="G112" s="77" t="str">
        <f t="shared" si="12"/>
        <v xml:space="preserve"> </v>
      </c>
      <c r="H112" s="77" t="str">
        <f t="shared" si="12"/>
        <v xml:space="preserve"> </v>
      </c>
      <c r="I112" s="77" t="str">
        <f t="shared" si="12"/>
        <v xml:space="preserve"> </v>
      </c>
      <c r="J112" s="77" t="str">
        <f t="shared" si="12"/>
        <v xml:space="preserve"> </v>
      </c>
      <c r="K112" s="77" t="str">
        <f t="shared" si="12"/>
        <v xml:space="preserve"> </v>
      </c>
      <c r="L112" s="77" t="str">
        <f t="shared" si="12"/>
        <v xml:space="preserve"> </v>
      </c>
      <c r="M112" s="77" t="str">
        <f t="shared" si="12"/>
        <v xml:space="preserve"> </v>
      </c>
      <c r="N112" s="77" t="str">
        <f t="shared" si="12"/>
        <v xml:space="preserve"> </v>
      </c>
      <c r="O112" s="77" t="str">
        <f t="shared" si="12"/>
        <v xml:space="preserve"> </v>
      </c>
      <c r="P112" s="77" t="str">
        <f t="shared" si="12"/>
        <v xml:space="preserve"> </v>
      </c>
      <c r="Q112" s="77" t="str">
        <f t="shared" si="12"/>
        <v xml:space="preserve"> </v>
      </c>
      <c r="R112" s="77" t="str">
        <f t="shared" si="12"/>
        <v xml:space="preserve"> </v>
      </c>
      <c r="S112" s="77" t="str">
        <f t="shared" si="12"/>
        <v xml:space="preserve"> </v>
      </c>
    </row>
    <row r="113" spans="5:19" hidden="1" x14ac:dyDescent="0.25">
      <c r="E113" s="77" t="str">
        <f t="shared" si="12"/>
        <v xml:space="preserve"> </v>
      </c>
      <c r="F113" s="77" t="str">
        <f t="shared" si="12"/>
        <v xml:space="preserve"> </v>
      </c>
      <c r="G113" s="77" t="str">
        <f t="shared" si="12"/>
        <v xml:space="preserve"> </v>
      </c>
      <c r="H113" s="77" t="str">
        <f t="shared" si="12"/>
        <v xml:space="preserve"> </v>
      </c>
      <c r="I113" s="77" t="str">
        <f t="shared" si="12"/>
        <v xml:space="preserve"> </v>
      </c>
      <c r="J113" s="77" t="str">
        <f t="shared" si="12"/>
        <v xml:space="preserve"> </v>
      </c>
      <c r="K113" s="77" t="str">
        <f t="shared" si="12"/>
        <v xml:space="preserve"> </v>
      </c>
      <c r="L113" s="77" t="str">
        <f t="shared" si="12"/>
        <v xml:space="preserve"> </v>
      </c>
      <c r="M113" s="77" t="str">
        <f t="shared" si="12"/>
        <v xml:space="preserve"> </v>
      </c>
      <c r="N113" s="77" t="str">
        <f t="shared" si="12"/>
        <v xml:space="preserve"> </v>
      </c>
      <c r="O113" s="77" t="str">
        <f t="shared" si="12"/>
        <v xml:space="preserve"> </v>
      </c>
      <c r="P113" s="77" t="str">
        <f t="shared" si="12"/>
        <v xml:space="preserve"> </v>
      </c>
      <c r="Q113" s="77" t="str">
        <f t="shared" si="12"/>
        <v xml:space="preserve"> </v>
      </c>
      <c r="R113" s="77" t="str">
        <f t="shared" si="12"/>
        <v xml:space="preserve"> </v>
      </c>
      <c r="S113" s="77" t="str">
        <f t="shared" si="12"/>
        <v xml:space="preserve"> </v>
      </c>
    </row>
    <row r="114" spans="5:19" hidden="1" x14ac:dyDescent="0.25">
      <c r="E114" s="77" t="str">
        <f t="shared" si="12"/>
        <v xml:space="preserve"> </v>
      </c>
      <c r="F114" s="77" t="str">
        <f t="shared" si="12"/>
        <v xml:space="preserve"> </v>
      </c>
      <c r="G114" s="77" t="str">
        <f t="shared" si="12"/>
        <v xml:space="preserve"> </v>
      </c>
      <c r="H114" s="77" t="str">
        <f t="shared" si="12"/>
        <v xml:space="preserve"> </v>
      </c>
      <c r="I114" s="77" t="str">
        <f t="shared" si="12"/>
        <v xml:space="preserve"> </v>
      </c>
      <c r="J114" s="77" t="str">
        <f t="shared" si="12"/>
        <v xml:space="preserve"> </v>
      </c>
      <c r="K114" s="77" t="str">
        <f t="shared" si="12"/>
        <v xml:space="preserve"> </v>
      </c>
      <c r="L114" s="77" t="str">
        <f t="shared" si="12"/>
        <v xml:space="preserve"> </v>
      </c>
      <c r="M114" s="77" t="str">
        <f t="shared" si="12"/>
        <v xml:space="preserve"> </v>
      </c>
      <c r="N114" s="77" t="str">
        <f t="shared" si="12"/>
        <v xml:space="preserve"> </v>
      </c>
      <c r="O114" s="77" t="str">
        <f t="shared" si="12"/>
        <v xml:space="preserve"> </v>
      </c>
      <c r="P114" s="77" t="str">
        <f t="shared" si="12"/>
        <v xml:space="preserve"> </v>
      </c>
      <c r="Q114" s="77" t="str">
        <f t="shared" si="12"/>
        <v xml:space="preserve"> </v>
      </c>
      <c r="R114" s="77" t="str">
        <f t="shared" si="12"/>
        <v xml:space="preserve"> </v>
      </c>
      <c r="S114" s="77" t="str">
        <f t="shared" si="12"/>
        <v xml:space="preserve"> </v>
      </c>
    </row>
    <row r="115" spans="5:19" hidden="1" x14ac:dyDescent="0.25">
      <c r="E115" s="77" t="str">
        <f t="shared" si="12"/>
        <v xml:space="preserve"> </v>
      </c>
      <c r="F115" s="77" t="str">
        <f t="shared" si="12"/>
        <v xml:space="preserve"> </v>
      </c>
      <c r="G115" s="77" t="str">
        <f t="shared" si="12"/>
        <v xml:space="preserve"> </v>
      </c>
      <c r="H115" s="77" t="str">
        <f t="shared" si="12"/>
        <v xml:space="preserve"> </v>
      </c>
      <c r="I115" s="77" t="str">
        <f t="shared" si="12"/>
        <v xml:space="preserve"> </v>
      </c>
      <c r="J115" s="77" t="str">
        <f t="shared" si="12"/>
        <v xml:space="preserve"> </v>
      </c>
      <c r="K115" s="77" t="str">
        <f t="shared" si="12"/>
        <v xml:space="preserve"> </v>
      </c>
      <c r="L115" s="77" t="str">
        <f t="shared" si="12"/>
        <v xml:space="preserve"> </v>
      </c>
      <c r="M115" s="77" t="str">
        <f t="shared" si="12"/>
        <v xml:space="preserve"> </v>
      </c>
      <c r="N115" s="77" t="str">
        <f t="shared" si="12"/>
        <v xml:space="preserve"> </v>
      </c>
      <c r="O115" s="77" t="str">
        <f t="shared" si="12"/>
        <v xml:space="preserve"> </v>
      </c>
      <c r="P115" s="77" t="str">
        <f t="shared" si="12"/>
        <v xml:space="preserve"> </v>
      </c>
      <c r="Q115" s="77" t="str">
        <f t="shared" si="12"/>
        <v xml:space="preserve"> </v>
      </c>
      <c r="R115" s="77" t="str">
        <f t="shared" si="12"/>
        <v xml:space="preserve"> </v>
      </c>
      <c r="S115" s="77" t="str">
        <f t="shared" si="12"/>
        <v xml:space="preserve"> </v>
      </c>
    </row>
    <row r="116" spans="5:19" hidden="1" x14ac:dyDescent="0.25">
      <c r="E116" s="77" t="str">
        <f t="shared" si="12"/>
        <v xml:space="preserve"> </v>
      </c>
      <c r="F116" s="77" t="str">
        <f t="shared" si="12"/>
        <v xml:space="preserve"> </v>
      </c>
      <c r="G116" s="77" t="str">
        <f t="shared" si="12"/>
        <v xml:space="preserve"> </v>
      </c>
      <c r="H116" s="77" t="str">
        <f t="shared" si="12"/>
        <v xml:space="preserve"> </v>
      </c>
      <c r="I116" s="77" t="str">
        <f t="shared" si="12"/>
        <v xml:space="preserve"> </v>
      </c>
      <c r="J116" s="77" t="str">
        <f t="shared" si="12"/>
        <v xml:space="preserve"> </v>
      </c>
      <c r="K116" s="77" t="str">
        <f t="shared" si="12"/>
        <v xml:space="preserve"> </v>
      </c>
      <c r="L116" s="77" t="str">
        <f t="shared" si="12"/>
        <v xml:space="preserve"> </v>
      </c>
      <c r="M116" s="77" t="str">
        <f t="shared" si="12"/>
        <v xml:space="preserve"> </v>
      </c>
      <c r="N116" s="77" t="str">
        <f t="shared" si="12"/>
        <v xml:space="preserve"> </v>
      </c>
      <c r="O116" s="77" t="str">
        <f t="shared" si="12"/>
        <v xml:space="preserve"> </v>
      </c>
      <c r="P116" s="77" t="str">
        <f t="shared" si="12"/>
        <v xml:space="preserve"> </v>
      </c>
      <c r="Q116" s="77" t="str">
        <f t="shared" si="12"/>
        <v xml:space="preserve"> </v>
      </c>
      <c r="R116" s="77" t="str">
        <f t="shared" si="12"/>
        <v xml:space="preserve"> </v>
      </c>
      <c r="S116" s="77" t="str">
        <f t="shared" si="12"/>
        <v xml:space="preserve"> </v>
      </c>
    </row>
    <row r="117" spans="5:19" hidden="1" x14ac:dyDescent="0.25">
      <c r="E117" s="77" t="str">
        <f t="shared" si="12"/>
        <v xml:space="preserve"> </v>
      </c>
      <c r="F117" s="77" t="str">
        <f t="shared" si="12"/>
        <v xml:space="preserve"> </v>
      </c>
      <c r="G117" s="77" t="str">
        <f t="shared" si="12"/>
        <v xml:space="preserve"> </v>
      </c>
      <c r="H117" s="77" t="str">
        <f t="shared" si="12"/>
        <v xml:space="preserve"> </v>
      </c>
      <c r="I117" s="77" t="str">
        <f t="shared" si="12"/>
        <v xml:space="preserve"> </v>
      </c>
      <c r="J117" s="77" t="str">
        <f t="shared" si="12"/>
        <v xml:space="preserve"> </v>
      </c>
      <c r="K117" s="77" t="str">
        <f t="shared" si="12"/>
        <v xml:space="preserve"> </v>
      </c>
      <c r="L117" s="77" t="str">
        <f t="shared" si="12"/>
        <v xml:space="preserve"> </v>
      </c>
      <c r="M117" s="77" t="str">
        <f t="shared" si="12"/>
        <v xml:space="preserve"> </v>
      </c>
      <c r="N117" s="77" t="str">
        <f t="shared" si="12"/>
        <v xml:space="preserve"> </v>
      </c>
      <c r="O117" s="77" t="str">
        <f t="shared" si="12"/>
        <v xml:space="preserve"> </v>
      </c>
      <c r="P117" s="77" t="str">
        <f t="shared" si="12"/>
        <v xml:space="preserve"> </v>
      </c>
      <c r="Q117" s="77" t="str">
        <f t="shared" si="12"/>
        <v xml:space="preserve"> </v>
      </c>
      <c r="R117" s="77" t="str">
        <f t="shared" si="12"/>
        <v xml:space="preserve"> </v>
      </c>
      <c r="S117" s="77" t="str">
        <f t="shared" si="12"/>
        <v xml:space="preserve"> </v>
      </c>
    </row>
    <row r="118" spans="5:19" hidden="1" x14ac:dyDescent="0.25">
      <c r="E118" s="77" t="str">
        <f t="shared" si="12"/>
        <v xml:space="preserve"> </v>
      </c>
      <c r="F118" s="77" t="str">
        <f t="shared" si="12"/>
        <v xml:space="preserve"> </v>
      </c>
      <c r="G118" s="77" t="str">
        <f t="shared" si="12"/>
        <v xml:space="preserve"> </v>
      </c>
      <c r="H118" s="77" t="str">
        <f t="shared" si="12"/>
        <v xml:space="preserve"> </v>
      </c>
      <c r="I118" s="77" t="str">
        <f t="shared" si="12"/>
        <v xml:space="preserve"> </v>
      </c>
      <c r="J118" s="77" t="str">
        <f t="shared" si="12"/>
        <v xml:space="preserve"> </v>
      </c>
      <c r="K118" s="77" t="str">
        <f t="shared" si="12"/>
        <v xml:space="preserve"> </v>
      </c>
      <c r="L118" s="77" t="str">
        <f t="shared" si="12"/>
        <v xml:space="preserve"> </v>
      </c>
      <c r="M118" s="77" t="str">
        <f t="shared" si="12"/>
        <v xml:space="preserve"> </v>
      </c>
      <c r="N118" s="77" t="str">
        <f t="shared" si="12"/>
        <v xml:space="preserve"> </v>
      </c>
      <c r="O118" s="77" t="str">
        <f t="shared" si="12"/>
        <v xml:space="preserve"> </v>
      </c>
      <c r="P118" s="77" t="str">
        <f t="shared" si="12"/>
        <v xml:space="preserve"> </v>
      </c>
      <c r="Q118" s="77" t="str">
        <f t="shared" si="12"/>
        <v xml:space="preserve"> </v>
      </c>
      <c r="R118" s="77" t="str">
        <f t="shared" si="12"/>
        <v xml:space="preserve"> </v>
      </c>
      <c r="S118" s="77" t="str">
        <f t="shared" si="12"/>
        <v xml:space="preserve"> </v>
      </c>
    </row>
    <row r="119" spans="5:19" hidden="1" x14ac:dyDescent="0.25">
      <c r="E119" s="77" t="str">
        <f t="shared" si="12"/>
        <v xml:space="preserve"> </v>
      </c>
      <c r="F119" s="77" t="str">
        <f t="shared" si="12"/>
        <v xml:space="preserve"> </v>
      </c>
      <c r="G119" s="77" t="str">
        <f t="shared" si="12"/>
        <v xml:space="preserve"> </v>
      </c>
      <c r="H119" s="77" t="str">
        <f t="shared" si="12"/>
        <v xml:space="preserve"> </v>
      </c>
      <c r="I119" s="77" t="str">
        <f t="shared" si="12"/>
        <v xml:space="preserve"> </v>
      </c>
      <c r="J119" s="77" t="str">
        <f t="shared" si="12"/>
        <v xml:space="preserve"> </v>
      </c>
      <c r="K119" s="77" t="str">
        <f t="shared" si="12"/>
        <v xml:space="preserve"> </v>
      </c>
      <c r="L119" s="77" t="str">
        <f t="shared" si="12"/>
        <v xml:space="preserve"> </v>
      </c>
      <c r="M119" s="77" t="str">
        <f t="shared" si="12"/>
        <v xml:space="preserve"> </v>
      </c>
      <c r="N119" s="77" t="str">
        <f t="shared" si="12"/>
        <v xml:space="preserve"> </v>
      </c>
      <c r="O119" s="77" t="str">
        <f t="shared" si="12"/>
        <v xml:space="preserve"> </v>
      </c>
      <c r="P119" s="77" t="str">
        <f t="shared" si="12"/>
        <v xml:space="preserve"> </v>
      </c>
      <c r="Q119" s="77" t="str">
        <f t="shared" si="12"/>
        <v xml:space="preserve"> </v>
      </c>
      <c r="R119" s="77" t="str">
        <f t="shared" si="12"/>
        <v xml:space="preserve"> </v>
      </c>
      <c r="S119" s="77" t="str">
        <f t="shared" si="12"/>
        <v xml:space="preserve"> </v>
      </c>
    </row>
    <row r="120" spans="5:19" hidden="1" x14ac:dyDescent="0.25">
      <c r="E120" s="77" t="str">
        <f t="shared" si="12"/>
        <v xml:space="preserve"> </v>
      </c>
      <c r="F120" s="77" t="str">
        <f t="shared" si="12"/>
        <v xml:space="preserve"> </v>
      </c>
      <c r="G120" s="77" t="str">
        <f t="shared" si="12"/>
        <v xml:space="preserve"> </v>
      </c>
      <c r="H120" s="77" t="str">
        <f t="shared" si="12"/>
        <v xml:space="preserve"> </v>
      </c>
      <c r="I120" s="77" t="str">
        <f t="shared" si="12"/>
        <v xml:space="preserve"> </v>
      </c>
      <c r="J120" s="77" t="str">
        <f t="shared" si="12"/>
        <v xml:space="preserve"> </v>
      </c>
      <c r="K120" s="77" t="str">
        <f t="shared" si="12"/>
        <v xml:space="preserve"> </v>
      </c>
      <c r="L120" s="77" t="str">
        <f t="shared" si="12"/>
        <v xml:space="preserve"> </v>
      </c>
      <c r="M120" s="77" t="str">
        <f t="shared" si="12"/>
        <v xml:space="preserve"> </v>
      </c>
      <c r="N120" s="77" t="str">
        <f t="shared" si="12"/>
        <v xml:space="preserve"> </v>
      </c>
      <c r="O120" s="77" t="str">
        <f t="shared" si="12"/>
        <v xml:space="preserve"> </v>
      </c>
      <c r="P120" s="77" t="str">
        <f t="shared" si="12"/>
        <v xml:space="preserve"> </v>
      </c>
      <c r="Q120" s="77" t="str">
        <f t="shared" si="12"/>
        <v xml:space="preserve"> </v>
      </c>
      <c r="R120" s="77" t="str">
        <f t="shared" si="12"/>
        <v xml:space="preserve"> </v>
      </c>
      <c r="S120" s="77" t="str">
        <f t="shared" si="12"/>
        <v xml:space="preserve"> </v>
      </c>
    </row>
    <row r="121" spans="5:19" hidden="1" x14ac:dyDescent="0.25">
      <c r="E121" s="77" t="str">
        <f t="shared" si="12"/>
        <v xml:space="preserve"> </v>
      </c>
      <c r="F121" s="77" t="str">
        <f t="shared" si="12"/>
        <v xml:space="preserve"> </v>
      </c>
      <c r="G121" s="77" t="str">
        <f t="shared" si="12"/>
        <v xml:space="preserve"> </v>
      </c>
      <c r="H121" s="77" t="str">
        <f t="shared" si="12"/>
        <v xml:space="preserve"> </v>
      </c>
      <c r="I121" s="77" t="str">
        <f t="shared" si="12"/>
        <v xml:space="preserve"> </v>
      </c>
      <c r="J121" s="77" t="str">
        <f t="shared" si="12"/>
        <v xml:space="preserve"> </v>
      </c>
      <c r="K121" s="77" t="str">
        <f t="shared" si="12"/>
        <v xml:space="preserve"> </v>
      </c>
      <c r="L121" s="77" t="str">
        <f t="shared" si="12"/>
        <v xml:space="preserve"> </v>
      </c>
      <c r="M121" s="77" t="str">
        <f t="shared" si="12"/>
        <v xml:space="preserve"> </v>
      </c>
      <c r="N121" s="77" t="str">
        <f t="shared" si="12"/>
        <v xml:space="preserve"> </v>
      </c>
      <c r="O121" s="77" t="str">
        <f t="shared" si="12"/>
        <v xml:space="preserve"> </v>
      </c>
      <c r="P121" s="77" t="str">
        <f t="shared" si="12"/>
        <v xml:space="preserve"> </v>
      </c>
      <c r="Q121" s="77" t="str">
        <f t="shared" si="12"/>
        <v xml:space="preserve"> </v>
      </c>
      <c r="R121" s="77" t="str">
        <f t="shared" si="12"/>
        <v xml:space="preserve"> </v>
      </c>
      <c r="S121" s="77" t="str">
        <f t="shared" si="12"/>
        <v xml:space="preserve"> </v>
      </c>
    </row>
    <row r="122" spans="5:19" hidden="1" x14ac:dyDescent="0.25">
      <c r="E122" s="77" t="str">
        <f t="shared" si="12"/>
        <v xml:space="preserve"> </v>
      </c>
      <c r="F122" s="77" t="str">
        <f t="shared" si="12"/>
        <v xml:space="preserve"> </v>
      </c>
      <c r="G122" s="77" t="str">
        <f t="shared" si="12"/>
        <v xml:space="preserve"> </v>
      </c>
      <c r="H122" s="77" t="str">
        <f t="shared" si="12"/>
        <v xml:space="preserve"> </v>
      </c>
      <c r="I122" s="77" t="str">
        <f t="shared" si="12"/>
        <v xml:space="preserve"> </v>
      </c>
      <c r="J122" s="77" t="str">
        <f t="shared" si="12"/>
        <v xml:space="preserve"> </v>
      </c>
      <c r="K122" s="77" t="str">
        <f t="shared" si="12"/>
        <v xml:space="preserve"> </v>
      </c>
      <c r="L122" s="77" t="str">
        <f t="shared" si="12"/>
        <v xml:space="preserve"> </v>
      </c>
      <c r="M122" s="77" t="str">
        <f t="shared" si="12"/>
        <v xml:space="preserve"> </v>
      </c>
      <c r="N122" s="77" t="str">
        <f t="shared" si="12"/>
        <v xml:space="preserve"> </v>
      </c>
      <c r="O122" s="77" t="str">
        <f t="shared" si="12"/>
        <v xml:space="preserve"> </v>
      </c>
      <c r="P122" s="77" t="str">
        <f t="shared" si="12"/>
        <v xml:space="preserve"> </v>
      </c>
      <c r="Q122" s="77" t="str">
        <f t="shared" si="12"/>
        <v xml:space="preserve"> </v>
      </c>
      <c r="R122" s="77" t="str">
        <f t="shared" si="12"/>
        <v xml:space="preserve"> </v>
      </c>
      <c r="S122" s="77" t="str">
        <f t="shared" si="12"/>
        <v xml:space="preserve"> </v>
      </c>
    </row>
    <row r="123" spans="5:19" hidden="1" x14ac:dyDescent="0.25">
      <c r="E123" s="77" t="str">
        <f t="shared" si="12"/>
        <v xml:space="preserve"> </v>
      </c>
      <c r="F123" s="77" t="str">
        <f t="shared" si="12"/>
        <v xml:space="preserve"> </v>
      </c>
      <c r="G123" s="77" t="str">
        <f t="shared" si="12"/>
        <v xml:space="preserve"> </v>
      </c>
      <c r="H123" s="77" t="str">
        <f t="shared" si="12"/>
        <v xml:space="preserve"> </v>
      </c>
      <c r="I123" s="77" t="str">
        <f t="shared" si="12"/>
        <v xml:space="preserve"> </v>
      </c>
      <c r="J123" s="77" t="str">
        <f t="shared" si="12"/>
        <v xml:space="preserve"> </v>
      </c>
      <c r="K123" s="77" t="str">
        <f t="shared" si="12"/>
        <v xml:space="preserve"> </v>
      </c>
      <c r="L123" s="77" t="str">
        <f t="shared" si="12"/>
        <v xml:space="preserve"> </v>
      </c>
      <c r="M123" s="77" t="str">
        <f t="shared" si="12"/>
        <v xml:space="preserve"> </v>
      </c>
      <c r="N123" s="77" t="str">
        <f t="shared" si="12"/>
        <v xml:space="preserve"> </v>
      </c>
      <c r="O123" s="77" t="str">
        <f t="shared" si="12"/>
        <v xml:space="preserve"> </v>
      </c>
      <c r="P123" s="77" t="str">
        <f t="shared" si="12"/>
        <v xml:space="preserve"> </v>
      </c>
      <c r="Q123" s="77" t="str">
        <f t="shared" si="12"/>
        <v xml:space="preserve"> </v>
      </c>
      <c r="R123" s="77" t="str">
        <f t="shared" si="12"/>
        <v xml:space="preserve"> </v>
      </c>
      <c r="S123" s="77" t="str">
        <f t="shared" si="12"/>
        <v xml:space="preserve"> </v>
      </c>
    </row>
    <row r="124" spans="5:19" hidden="1" x14ac:dyDescent="0.25">
      <c r="E124" s="77" t="str">
        <f t="shared" si="12"/>
        <v xml:space="preserve"> </v>
      </c>
      <c r="F124" s="77" t="str">
        <f t="shared" si="12"/>
        <v xml:space="preserve"> </v>
      </c>
      <c r="G124" s="77" t="str">
        <f t="shared" si="12"/>
        <v xml:space="preserve"> </v>
      </c>
      <c r="H124" s="77" t="str">
        <f t="shared" si="12"/>
        <v xml:space="preserve"> </v>
      </c>
      <c r="I124" s="77" t="str">
        <f t="shared" si="12"/>
        <v xml:space="preserve"> </v>
      </c>
      <c r="J124" s="77" t="str">
        <f t="shared" si="12"/>
        <v xml:space="preserve"> </v>
      </c>
      <c r="K124" s="77" t="str">
        <f t="shared" si="12"/>
        <v xml:space="preserve"> </v>
      </c>
      <c r="L124" s="77" t="str">
        <f t="shared" si="12"/>
        <v xml:space="preserve"> </v>
      </c>
      <c r="M124" s="77" t="str">
        <f t="shared" si="12"/>
        <v xml:space="preserve"> </v>
      </c>
      <c r="N124" s="77" t="str">
        <f t="shared" si="12"/>
        <v xml:space="preserve"> </v>
      </c>
      <c r="O124" s="77" t="str">
        <f t="shared" si="12"/>
        <v xml:space="preserve"> </v>
      </c>
      <c r="P124" s="77" t="str">
        <f t="shared" si="12"/>
        <v xml:space="preserve"> </v>
      </c>
      <c r="Q124" s="77" t="str">
        <f t="shared" si="12"/>
        <v xml:space="preserve"> </v>
      </c>
      <c r="R124" s="77" t="str">
        <f t="shared" si="12"/>
        <v xml:space="preserve"> </v>
      </c>
      <c r="S124" s="77" t="str">
        <f t="shared" si="12"/>
        <v xml:space="preserve"> </v>
      </c>
    </row>
    <row r="125" spans="5:19" hidden="1" x14ac:dyDescent="0.25">
      <c r="E125" s="77" t="str">
        <f t="shared" si="12"/>
        <v xml:space="preserve"> </v>
      </c>
      <c r="F125" s="77" t="str">
        <f t="shared" si="12"/>
        <v xml:space="preserve"> </v>
      </c>
      <c r="G125" s="77" t="str">
        <f t="shared" si="12"/>
        <v xml:space="preserve"> </v>
      </c>
      <c r="H125" s="77" t="str">
        <f t="shared" si="12"/>
        <v xml:space="preserve"> </v>
      </c>
      <c r="I125" s="77" t="str">
        <f t="shared" si="12"/>
        <v xml:space="preserve"> </v>
      </c>
      <c r="J125" s="77" t="str">
        <f t="shared" si="12"/>
        <v xml:space="preserve"> </v>
      </c>
      <c r="K125" s="77" t="str">
        <f t="shared" si="12"/>
        <v xml:space="preserve"> </v>
      </c>
      <c r="L125" s="77" t="str">
        <f t="shared" si="12"/>
        <v xml:space="preserve"> </v>
      </c>
      <c r="M125" s="77" t="str">
        <f t="shared" si="12"/>
        <v xml:space="preserve"> </v>
      </c>
      <c r="N125" s="77" t="str">
        <f t="shared" si="12"/>
        <v xml:space="preserve"> </v>
      </c>
      <c r="O125" s="77" t="str">
        <f t="shared" si="12"/>
        <v xml:space="preserve"> </v>
      </c>
      <c r="P125" s="77" t="str">
        <f t="shared" si="12"/>
        <v xml:space="preserve"> </v>
      </c>
      <c r="Q125" s="77" t="str">
        <f t="shared" si="12"/>
        <v xml:space="preserve"> </v>
      </c>
      <c r="R125" s="77" t="str">
        <f t="shared" si="12"/>
        <v xml:space="preserve"> </v>
      </c>
      <c r="S125" s="77" t="str">
        <f t="shared" si="12"/>
        <v xml:space="preserve"> </v>
      </c>
    </row>
    <row r="126" spans="5:19" hidden="1" x14ac:dyDescent="0.25">
      <c r="E126" s="77" t="str">
        <f t="shared" si="12"/>
        <v xml:space="preserve"> </v>
      </c>
      <c r="F126" s="77" t="str">
        <f t="shared" si="12"/>
        <v xml:space="preserve"> </v>
      </c>
      <c r="G126" s="77" t="str">
        <f t="shared" si="12"/>
        <v xml:space="preserve"> </v>
      </c>
      <c r="H126" s="77" t="str">
        <f t="shared" si="12"/>
        <v xml:space="preserve"> </v>
      </c>
      <c r="I126" s="77" t="str">
        <f t="shared" si="12"/>
        <v xml:space="preserve"> </v>
      </c>
      <c r="J126" s="77" t="str">
        <f t="shared" si="12"/>
        <v xml:space="preserve"> </v>
      </c>
      <c r="K126" s="77" t="str">
        <f t="shared" si="12"/>
        <v xml:space="preserve"> </v>
      </c>
      <c r="L126" s="77" t="str">
        <f t="shared" si="12"/>
        <v xml:space="preserve"> </v>
      </c>
      <c r="M126" s="77" t="str">
        <f t="shared" si="12"/>
        <v xml:space="preserve"> </v>
      </c>
      <c r="N126" s="77" t="str">
        <f t="shared" si="12"/>
        <v xml:space="preserve"> </v>
      </c>
      <c r="O126" s="77" t="str">
        <f t="shared" si="12"/>
        <v xml:space="preserve"> </v>
      </c>
      <c r="P126" s="77" t="str">
        <f t="shared" si="12"/>
        <v xml:space="preserve"> </v>
      </c>
      <c r="Q126" s="77" t="str">
        <f t="shared" si="12"/>
        <v xml:space="preserve"> </v>
      </c>
      <c r="R126" s="77" t="str">
        <f t="shared" si="12"/>
        <v xml:space="preserve"> </v>
      </c>
      <c r="S126" s="77" t="str">
        <f t="shared" si="12"/>
        <v xml:space="preserve"> </v>
      </c>
    </row>
    <row r="127" spans="5:19" hidden="1" x14ac:dyDescent="0.25">
      <c r="E127" s="77" t="str">
        <f t="shared" si="12"/>
        <v xml:space="preserve"> </v>
      </c>
      <c r="F127" s="77" t="str">
        <f t="shared" si="12"/>
        <v xml:space="preserve"> </v>
      </c>
      <c r="G127" s="77" t="str">
        <f t="shared" si="12"/>
        <v xml:space="preserve"> </v>
      </c>
      <c r="H127" s="77" t="str">
        <f t="shared" si="12"/>
        <v xml:space="preserve"> </v>
      </c>
      <c r="I127" s="77" t="str">
        <f t="shared" si="12"/>
        <v xml:space="preserve"> </v>
      </c>
      <c r="J127" s="77" t="str">
        <f t="shared" si="12"/>
        <v xml:space="preserve"> </v>
      </c>
      <c r="K127" s="77" t="str">
        <f t="shared" si="12"/>
        <v xml:space="preserve"> </v>
      </c>
      <c r="L127" s="77" t="str">
        <f t="shared" si="12"/>
        <v xml:space="preserve"> </v>
      </c>
      <c r="M127" s="77" t="str">
        <f t="shared" si="12"/>
        <v xml:space="preserve"> </v>
      </c>
      <c r="N127" s="77" t="str">
        <f t="shared" si="12"/>
        <v xml:space="preserve"> </v>
      </c>
      <c r="O127" s="77" t="str">
        <f t="shared" si="12"/>
        <v xml:space="preserve"> </v>
      </c>
      <c r="P127" s="77" t="str">
        <f t="shared" si="12"/>
        <v xml:space="preserve"> </v>
      </c>
      <c r="Q127" s="77" t="str">
        <f t="shared" si="12"/>
        <v xml:space="preserve"> </v>
      </c>
      <c r="R127" s="77" t="str">
        <f t="shared" si="12"/>
        <v xml:space="preserve"> </v>
      </c>
      <c r="S127" s="77" t="str">
        <f t="shared" si="12"/>
        <v xml:space="preserve"> </v>
      </c>
    </row>
    <row r="128" spans="5:19" hidden="1" x14ac:dyDescent="0.25">
      <c r="E128" s="77" t="str">
        <f t="shared" si="12"/>
        <v xml:space="preserve"> </v>
      </c>
      <c r="F128" s="77" t="str">
        <f t="shared" si="12"/>
        <v xml:space="preserve"> </v>
      </c>
      <c r="G128" s="77" t="str">
        <f t="shared" si="12"/>
        <v xml:space="preserve"> </v>
      </c>
      <c r="H128" s="77" t="str">
        <f t="shared" si="12"/>
        <v xml:space="preserve"> </v>
      </c>
      <c r="I128" s="77" t="str">
        <f t="shared" si="12"/>
        <v xml:space="preserve"> </v>
      </c>
      <c r="J128" s="77" t="str">
        <f t="shared" si="12"/>
        <v xml:space="preserve"> </v>
      </c>
      <c r="K128" s="77" t="str">
        <f t="shared" ref="F128:S137" si="13">IF(LEFT(K27,1)="&lt;",VALUE(SUBSTITUTE(K27,"&lt;","")), IF(ISBLANK(K27)," ",K27))</f>
        <v xml:space="preserve"> </v>
      </c>
      <c r="L128" s="77" t="str">
        <f t="shared" si="13"/>
        <v xml:space="preserve"> </v>
      </c>
      <c r="M128" s="77" t="str">
        <f t="shared" si="13"/>
        <v xml:space="preserve"> </v>
      </c>
      <c r="N128" s="77" t="str">
        <f t="shared" si="13"/>
        <v xml:space="preserve"> </v>
      </c>
      <c r="O128" s="77" t="str">
        <f t="shared" si="13"/>
        <v xml:space="preserve"> </v>
      </c>
      <c r="P128" s="77" t="str">
        <f t="shared" si="13"/>
        <v xml:space="preserve"> </v>
      </c>
      <c r="Q128" s="77" t="str">
        <f t="shared" si="13"/>
        <v xml:space="preserve"> </v>
      </c>
      <c r="R128" s="77" t="str">
        <f t="shared" si="13"/>
        <v xml:space="preserve"> </v>
      </c>
      <c r="S128" s="77" t="str">
        <f t="shared" si="13"/>
        <v xml:space="preserve"> </v>
      </c>
    </row>
    <row r="129" spans="5:19" hidden="1" x14ac:dyDescent="0.25">
      <c r="E129" s="77" t="str">
        <f t="shared" si="12"/>
        <v xml:space="preserve"> </v>
      </c>
      <c r="F129" s="77" t="str">
        <f t="shared" si="13"/>
        <v xml:space="preserve"> </v>
      </c>
      <c r="G129" s="77" t="str">
        <f t="shared" si="13"/>
        <v xml:space="preserve"> </v>
      </c>
      <c r="H129" s="77" t="str">
        <f t="shared" si="13"/>
        <v xml:space="preserve"> </v>
      </c>
      <c r="I129" s="77" t="str">
        <f t="shared" si="13"/>
        <v xml:space="preserve"> </v>
      </c>
      <c r="J129" s="77" t="str">
        <f t="shared" si="13"/>
        <v xml:space="preserve"> </v>
      </c>
      <c r="K129" s="77" t="str">
        <f t="shared" si="13"/>
        <v xml:space="preserve"> </v>
      </c>
      <c r="L129" s="77" t="str">
        <f t="shared" si="13"/>
        <v xml:space="preserve"> </v>
      </c>
      <c r="M129" s="77" t="str">
        <f t="shared" si="13"/>
        <v xml:space="preserve"> </v>
      </c>
      <c r="N129" s="77" t="str">
        <f t="shared" si="13"/>
        <v xml:space="preserve"> </v>
      </c>
      <c r="O129" s="77" t="str">
        <f t="shared" si="13"/>
        <v xml:space="preserve"> </v>
      </c>
      <c r="P129" s="77" t="str">
        <f t="shared" si="13"/>
        <v xml:space="preserve"> </v>
      </c>
      <c r="Q129" s="77" t="str">
        <f t="shared" si="13"/>
        <v xml:space="preserve"> </v>
      </c>
      <c r="R129" s="77" t="str">
        <f t="shared" si="13"/>
        <v xml:space="preserve"> </v>
      </c>
      <c r="S129" s="77" t="str">
        <f t="shared" si="13"/>
        <v xml:space="preserve"> </v>
      </c>
    </row>
    <row r="130" spans="5:19" hidden="1" x14ac:dyDescent="0.25">
      <c r="E130" s="77" t="str">
        <f t="shared" si="12"/>
        <v xml:space="preserve"> </v>
      </c>
      <c r="F130" s="77" t="str">
        <f t="shared" si="13"/>
        <v xml:space="preserve"> </v>
      </c>
      <c r="G130" s="77" t="str">
        <f t="shared" si="13"/>
        <v xml:space="preserve"> </v>
      </c>
      <c r="H130" s="77" t="str">
        <f t="shared" si="13"/>
        <v xml:space="preserve"> </v>
      </c>
      <c r="I130" s="77" t="str">
        <f t="shared" si="13"/>
        <v xml:space="preserve"> </v>
      </c>
      <c r="J130" s="77" t="str">
        <f t="shared" si="13"/>
        <v xml:space="preserve"> </v>
      </c>
      <c r="K130" s="77" t="str">
        <f t="shared" si="13"/>
        <v xml:space="preserve"> </v>
      </c>
      <c r="L130" s="77" t="str">
        <f t="shared" si="13"/>
        <v xml:space="preserve"> </v>
      </c>
      <c r="M130" s="77" t="str">
        <f t="shared" si="13"/>
        <v xml:space="preserve"> </v>
      </c>
      <c r="N130" s="77" t="str">
        <f t="shared" si="13"/>
        <v xml:space="preserve"> </v>
      </c>
      <c r="O130" s="77" t="str">
        <f t="shared" si="13"/>
        <v xml:space="preserve"> </v>
      </c>
      <c r="P130" s="77" t="str">
        <f t="shared" si="13"/>
        <v xml:space="preserve"> </v>
      </c>
      <c r="Q130" s="77" t="str">
        <f t="shared" si="13"/>
        <v xml:space="preserve"> </v>
      </c>
      <c r="R130" s="77" t="str">
        <f t="shared" si="13"/>
        <v xml:space="preserve"> </v>
      </c>
      <c r="S130" s="77" t="str">
        <f t="shared" si="13"/>
        <v xml:space="preserve"> </v>
      </c>
    </row>
    <row r="131" spans="5:19" hidden="1" x14ac:dyDescent="0.25">
      <c r="E131" s="77" t="str">
        <f t="shared" si="12"/>
        <v xml:space="preserve"> </v>
      </c>
      <c r="F131" s="77" t="str">
        <f t="shared" si="13"/>
        <v xml:space="preserve"> </v>
      </c>
      <c r="G131" s="77" t="str">
        <f t="shared" si="13"/>
        <v xml:space="preserve"> </v>
      </c>
      <c r="H131" s="77" t="str">
        <f t="shared" si="13"/>
        <v xml:space="preserve"> </v>
      </c>
      <c r="I131" s="77" t="str">
        <f t="shared" si="13"/>
        <v xml:space="preserve"> </v>
      </c>
      <c r="J131" s="77" t="str">
        <f t="shared" si="13"/>
        <v xml:space="preserve"> </v>
      </c>
      <c r="K131" s="77" t="str">
        <f t="shared" si="13"/>
        <v xml:space="preserve"> </v>
      </c>
      <c r="L131" s="77" t="str">
        <f t="shared" si="13"/>
        <v xml:space="preserve"> </v>
      </c>
      <c r="M131" s="77" t="str">
        <f t="shared" si="13"/>
        <v xml:space="preserve"> </v>
      </c>
      <c r="N131" s="77" t="str">
        <f t="shared" si="13"/>
        <v xml:space="preserve"> </v>
      </c>
      <c r="O131" s="77" t="str">
        <f t="shared" si="13"/>
        <v xml:space="preserve"> </v>
      </c>
      <c r="P131" s="77" t="str">
        <f t="shared" si="13"/>
        <v xml:space="preserve"> </v>
      </c>
      <c r="Q131" s="77" t="str">
        <f t="shared" si="13"/>
        <v xml:space="preserve"> </v>
      </c>
      <c r="R131" s="77" t="str">
        <f t="shared" si="13"/>
        <v xml:space="preserve"> </v>
      </c>
      <c r="S131" s="77" t="str">
        <f t="shared" si="13"/>
        <v xml:space="preserve"> </v>
      </c>
    </row>
    <row r="132" spans="5:19" hidden="1" x14ac:dyDescent="0.25">
      <c r="E132" s="77" t="str">
        <f t="shared" si="12"/>
        <v xml:space="preserve"> </v>
      </c>
      <c r="F132" s="77" t="str">
        <f t="shared" si="13"/>
        <v xml:space="preserve"> </v>
      </c>
      <c r="G132" s="77" t="str">
        <f t="shared" si="13"/>
        <v xml:space="preserve"> </v>
      </c>
      <c r="H132" s="77" t="str">
        <f t="shared" si="13"/>
        <v xml:space="preserve"> </v>
      </c>
      <c r="I132" s="77" t="str">
        <f t="shared" si="13"/>
        <v xml:space="preserve"> </v>
      </c>
      <c r="J132" s="77" t="str">
        <f t="shared" si="13"/>
        <v xml:space="preserve"> </v>
      </c>
      <c r="K132" s="77" t="str">
        <f t="shared" si="13"/>
        <v xml:space="preserve"> </v>
      </c>
      <c r="L132" s="77" t="str">
        <f t="shared" si="13"/>
        <v xml:space="preserve"> </v>
      </c>
      <c r="M132" s="77" t="str">
        <f t="shared" si="13"/>
        <v xml:space="preserve"> </v>
      </c>
      <c r="N132" s="77" t="str">
        <f t="shared" si="13"/>
        <v xml:space="preserve"> </v>
      </c>
      <c r="O132" s="77" t="str">
        <f t="shared" si="13"/>
        <v xml:space="preserve"> </v>
      </c>
      <c r="P132" s="77" t="str">
        <f t="shared" si="13"/>
        <v xml:space="preserve"> </v>
      </c>
      <c r="Q132" s="77" t="str">
        <f t="shared" si="13"/>
        <v xml:space="preserve"> </v>
      </c>
      <c r="R132" s="77" t="str">
        <f t="shared" si="13"/>
        <v xml:space="preserve"> </v>
      </c>
      <c r="S132" s="77" t="str">
        <f t="shared" si="13"/>
        <v xml:space="preserve"> </v>
      </c>
    </row>
    <row r="133" spans="5:19" hidden="1" x14ac:dyDescent="0.25">
      <c r="E133" s="77" t="str">
        <f t="shared" si="12"/>
        <v xml:space="preserve"> </v>
      </c>
      <c r="F133" s="77" t="str">
        <f t="shared" si="13"/>
        <v xml:space="preserve"> </v>
      </c>
      <c r="G133" s="77" t="str">
        <f t="shared" si="13"/>
        <v xml:space="preserve"> </v>
      </c>
      <c r="H133" s="77" t="str">
        <f t="shared" si="13"/>
        <v xml:space="preserve"> </v>
      </c>
      <c r="I133" s="77" t="str">
        <f t="shared" si="13"/>
        <v xml:space="preserve"> </v>
      </c>
      <c r="J133" s="77" t="str">
        <f t="shared" si="13"/>
        <v xml:space="preserve"> </v>
      </c>
      <c r="K133" s="77" t="str">
        <f t="shared" si="13"/>
        <v xml:space="preserve"> </v>
      </c>
      <c r="L133" s="77" t="str">
        <f t="shared" si="13"/>
        <v xml:space="preserve"> </v>
      </c>
      <c r="M133" s="77" t="str">
        <f t="shared" si="13"/>
        <v xml:space="preserve"> </v>
      </c>
      <c r="N133" s="77" t="str">
        <f t="shared" si="13"/>
        <v xml:space="preserve"> </v>
      </c>
      <c r="O133" s="77" t="str">
        <f t="shared" si="13"/>
        <v xml:space="preserve"> </v>
      </c>
      <c r="P133" s="77" t="str">
        <f t="shared" si="13"/>
        <v xml:space="preserve"> </v>
      </c>
      <c r="Q133" s="77" t="str">
        <f t="shared" si="13"/>
        <v xml:space="preserve"> </v>
      </c>
      <c r="R133" s="77" t="str">
        <f t="shared" si="13"/>
        <v xml:space="preserve"> </v>
      </c>
      <c r="S133" s="77" t="str">
        <f t="shared" si="13"/>
        <v xml:space="preserve"> </v>
      </c>
    </row>
    <row r="134" spans="5:19" hidden="1" x14ac:dyDescent="0.25">
      <c r="E134" s="77" t="str">
        <f t="shared" si="12"/>
        <v xml:space="preserve"> </v>
      </c>
      <c r="F134" s="77" t="str">
        <f t="shared" si="13"/>
        <v xml:space="preserve"> </v>
      </c>
      <c r="G134" s="77" t="str">
        <f t="shared" si="13"/>
        <v xml:space="preserve"> </v>
      </c>
      <c r="H134" s="77" t="str">
        <f t="shared" si="13"/>
        <v xml:space="preserve"> </v>
      </c>
      <c r="I134" s="77" t="str">
        <f t="shared" si="13"/>
        <v xml:space="preserve"> </v>
      </c>
      <c r="J134" s="77" t="str">
        <f t="shared" si="13"/>
        <v xml:space="preserve"> </v>
      </c>
      <c r="K134" s="77" t="str">
        <f t="shared" si="13"/>
        <v xml:space="preserve"> </v>
      </c>
      <c r="L134" s="77" t="str">
        <f t="shared" si="13"/>
        <v xml:space="preserve"> </v>
      </c>
      <c r="M134" s="77" t="str">
        <f t="shared" si="13"/>
        <v xml:space="preserve"> </v>
      </c>
      <c r="N134" s="77" t="str">
        <f t="shared" si="13"/>
        <v xml:space="preserve"> </v>
      </c>
      <c r="O134" s="77" t="str">
        <f t="shared" si="13"/>
        <v xml:space="preserve"> </v>
      </c>
      <c r="P134" s="77" t="str">
        <f t="shared" si="13"/>
        <v xml:space="preserve"> </v>
      </c>
      <c r="Q134" s="77" t="str">
        <f t="shared" si="13"/>
        <v xml:space="preserve"> </v>
      </c>
      <c r="R134" s="77" t="str">
        <f t="shared" si="13"/>
        <v xml:space="preserve"> </v>
      </c>
      <c r="S134" s="77" t="str">
        <f t="shared" si="13"/>
        <v xml:space="preserve"> </v>
      </c>
    </row>
    <row r="135" spans="5:19" hidden="1" x14ac:dyDescent="0.25">
      <c r="E135" s="77" t="str">
        <f t="shared" si="12"/>
        <v xml:space="preserve"> </v>
      </c>
      <c r="F135" s="77" t="str">
        <f t="shared" si="13"/>
        <v xml:space="preserve"> </v>
      </c>
      <c r="G135" s="77" t="str">
        <f t="shared" si="13"/>
        <v xml:space="preserve"> </v>
      </c>
      <c r="H135" s="77" t="str">
        <f t="shared" si="13"/>
        <v xml:space="preserve"> </v>
      </c>
      <c r="I135" s="77" t="str">
        <f t="shared" si="13"/>
        <v xml:space="preserve"> </v>
      </c>
      <c r="J135" s="77" t="str">
        <f t="shared" si="13"/>
        <v xml:space="preserve"> </v>
      </c>
      <c r="K135" s="77" t="str">
        <f t="shared" si="13"/>
        <v xml:space="preserve"> </v>
      </c>
      <c r="L135" s="77" t="str">
        <f t="shared" si="13"/>
        <v xml:space="preserve"> </v>
      </c>
      <c r="M135" s="77" t="str">
        <f t="shared" si="13"/>
        <v xml:space="preserve"> </v>
      </c>
      <c r="N135" s="77" t="str">
        <f t="shared" si="13"/>
        <v xml:space="preserve"> </v>
      </c>
      <c r="O135" s="77" t="str">
        <f t="shared" si="13"/>
        <v xml:space="preserve"> </v>
      </c>
      <c r="P135" s="77" t="str">
        <f t="shared" si="13"/>
        <v xml:space="preserve"> </v>
      </c>
      <c r="Q135" s="77" t="str">
        <f t="shared" si="13"/>
        <v xml:space="preserve"> </v>
      </c>
      <c r="R135" s="77" t="str">
        <f t="shared" si="13"/>
        <v xml:space="preserve"> </v>
      </c>
      <c r="S135" s="77" t="str">
        <f t="shared" si="13"/>
        <v xml:space="preserve"> </v>
      </c>
    </row>
    <row r="136" spans="5:19" hidden="1" x14ac:dyDescent="0.25">
      <c r="E136" s="77" t="str">
        <f t="shared" si="12"/>
        <v xml:space="preserve"> </v>
      </c>
      <c r="F136" s="77" t="str">
        <f t="shared" si="13"/>
        <v xml:space="preserve"> </v>
      </c>
      <c r="G136" s="77" t="str">
        <f t="shared" si="13"/>
        <v xml:space="preserve"> </v>
      </c>
      <c r="H136" s="77" t="str">
        <f t="shared" si="13"/>
        <v xml:space="preserve"> </v>
      </c>
      <c r="I136" s="77" t="str">
        <f t="shared" si="13"/>
        <v xml:space="preserve"> </v>
      </c>
      <c r="J136" s="77" t="str">
        <f t="shared" si="13"/>
        <v xml:space="preserve"> </v>
      </c>
      <c r="K136" s="77" t="str">
        <f t="shared" si="13"/>
        <v xml:space="preserve"> </v>
      </c>
      <c r="L136" s="77" t="str">
        <f t="shared" si="13"/>
        <v xml:space="preserve"> </v>
      </c>
      <c r="M136" s="77" t="str">
        <f t="shared" si="13"/>
        <v xml:space="preserve"> </v>
      </c>
      <c r="N136" s="77" t="str">
        <f t="shared" si="13"/>
        <v xml:space="preserve"> </v>
      </c>
      <c r="O136" s="77" t="str">
        <f t="shared" si="13"/>
        <v xml:space="preserve"> </v>
      </c>
      <c r="P136" s="77" t="str">
        <f t="shared" si="13"/>
        <v xml:space="preserve"> </v>
      </c>
      <c r="Q136" s="77" t="str">
        <f t="shared" si="13"/>
        <v xml:space="preserve"> </v>
      </c>
      <c r="R136" s="77" t="str">
        <f t="shared" si="13"/>
        <v xml:space="preserve"> </v>
      </c>
      <c r="S136" s="77" t="str">
        <f t="shared" si="13"/>
        <v xml:space="preserve"> </v>
      </c>
    </row>
    <row r="137" spans="5:19" hidden="1" x14ac:dyDescent="0.25">
      <c r="E137" s="77" t="str">
        <f t="shared" si="12"/>
        <v xml:space="preserve"> </v>
      </c>
      <c r="F137" s="77" t="str">
        <f t="shared" si="13"/>
        <v xml:space="preserve"> </v>
      </c>
      <c r="G137" s="77" t="str">
        <f t="shared" si="13"/>
        <v xml:space="preserve"> </v>
      </c>
      <c r="H137" s="77" t="str">
        <f t="shared" si="13"/>
        <v xml:space="preserve"> </v>
      </c>
      <c r="I137" s="77" t="str">
        <f t="shared" si="13"/>
        <v xml:space="preserve"> </v>
      </c>
      <c r="J137" s="77" t="str">
        <f t="shared" si="13"/>
        <v xml:space="preserve"> </v>
      </c>
      <c r="K137" s="77" t="str">
        <f t="shared" si="13"/>
        <v xml:space="preserve"> </v>
      </c>
      <c r="L137" s="77" t="str">
        <f t="shared" si="13"/>
        <v xml:space="preserve"> </v>
      </c>
      <c r="M137" s="77" t="str">
        <f t="shared" si="13"/>
        <v xml:space="preserve"> </v>
      </c>
      <c r="N137" s="77" t="str">
        <f t="shared" si="13"/>
        <v xml:space="preserve"> </v>
      </c>
      <c r="O137" s="77" t="str">
        <f t="shared" si="13"/>
        <v xml:space="preserve"> </v>
      </c>
      <c r="P137" s="77" t="str">
        <f t="shared" si="13"/>
        <v xml:space="preserve"> </v>
      </c>
      <c r="Q137" s="77" t="str">
        <f t="shared" si="13"/>
        <v xml:space="preserve"> </v>
      </c>
      <c r="R137" s="77" t="str">
        <f t="shared" si="13"/>
        <v xml:space="preserve"> </v>
      </c>
      <c r="S137" s="77" t="str">
        <f t="shared" si="13"/>
        <v xml:space="preserve"> </v>
      </c>
    </row>
  </sheetData>
  <sheetProtection password="CD14" sheet="1" objects="1" scenarios="1" selectLockedCells="1"/>
  <mergeCells count="18">
    <mergeCell ref="A43:C43"/>
    <mergeCell ref="A42:C42"/>
    <mergeCell ref="D2:J2"/>
    <mergeCell ref="K2:S2"/>
    <mergeCell ref="A3:C3"/>
    <mergeCell ref="P1:Q1"/>
    <mergeCell ref="A2:B2"/>
    <mergeCell ref="A37:C37"/>
    <mergeCell ref="A4:A5"/>
    <mergeCell ref="A41:C41"/>
    <mergeCell ref="A40:C40"/>
    <mergeCell ref="A38:C38"/>
    <mergeCell ref="A39:C39"/>
    <mergeCell ref="A1:B1"/>
    <mergeCell ref="C1:D1"/>
    <mergeCell ref="E1:F1"/>
    <mergeCell ref="G1:K1"/>
    <mergeCell ref="M1:N1"/>
  </mergeCells>
  <phoneticPr fontId="0" type="noConversion"/>
  <dataValidations count="9">
    <dataValidation type="list" showInputMessage="1" showErrorMessage="1" sqref="E40:S40" xr:uid="{00000000-0002-0000-0000-000000000000}">
      <formula1>Sample</formula1>
    </dataValidation>
    <dataValidation type="list" showInputMessage="1" showErrorMessage="1" sqref="D40" xr:uid="{00000000-0002-0000-0000-000001000000}">
      <formula1>Flow</formula1>
    </dataValidation>
    <dataValidation showInputMessage="1" showErrorMessage="1" sqref="D4" xr:uid="{00000000-0002-0000-0000-000002000000}"/>
    <dataValidation type="list" showInputMessage="1" showErrorMessage="1" sqref="M1:N1" xr:uid="{00000000-0002-0000-0000-000003000000}">
      <formula1>County</formula1>
    </dataValidation>
    <dataValidation type="time" allowBlank="1" showInputMessage="1" showErrorMessage="1" sqref="B35 B21 B29" xr:uid="{00000000-0002-0000-0000-000004000000}">
      <formula1>0</formula1>
      <formula2>0.999305555555556</formula2>
    </dataValidation>
    <dataValidation type="list" showInputMessage="1" showErrorMessage="1" sqref="P1:Q1" xr:uid="{00000000-0002-0000-0000-000005000000}">
      <formula1>Month</formula1>
    </dataValidation>
    <dataValidation type="list" showInputMessage="1" showErrorMessage="1" sqref="S1" xr:uid="{00000000-0002-0000-0000-000006000000}">
      <formula1>Year</formula1>
    </dataValidation>
    <dataValidation type="list" showInputMessage="1" showErrorMessage="1" sqref="C2" xr:uid="{00000000-0002-0000-0000-000007000000}">
      <formula1>PPI</formula1>
    </dataValidation>
    <dataValidation type="list" showInputMessage="1" showErrorMessage="1" sqref="E3:S3" xr:uid="{00000000-0002-0000-0000-000008000000}">
      <formula1>PCSCODE</formula1>
    </dataValidation>
  </dataValidations>
  <printOptions horizontalCentered="1"/>
  <pageMargins left="0.28431321084864403" right="0.28431321084864403" top="0.5" bottom="0.2" header="0.2" footer="0.1"/>
  <pageSetup scale="79" orientation="landscape" r:id="rId1"/>
  <headerFooter alignWithMargins="0">
    <oddHeader>&amp;LFORM: NDMR 03-12&amp;C&amp;"Arial,Bold"&amp;12NON-DISCHARGE MONITORING REPORT (NDMR)&amp;RPage _____ of _____</oddHeader>
  </headerFooter>
  <drawing r:id="rId2"/>
  <legacyDrawing r:id="rId3"/>
  <mc:AlternateContent xmlns:mc="http://schemas.openxmlformats.org/markup-compatibility/2006">
    <mc:Choice Requires="x14">
      <controls>
        <mc:AlternateContent xmlns:mc="http://schemas.openxmlformats.org/markup-compatibility/2006">
          <mc:Choice Requires="x14">
            <control shapeId="1063" r:id="rId4" name="Check Box 39">
              <controlPr defaultSize="0" autoFill="0" autoLine="0" autoPict="0">
                <anchor moveWithCells="1">
                  <from>
                    <xdr:col>5</xdr:col>
                    <xdr:colOff>209550</xdr:colOff>
                    <xdr:row>1</xdr:row>
                    <xdr:rowOff>19050</xdr:rowOff>
                  </from>
                  <to>
                    <xdr:col>6</xdr:col>
                    <xdr:colOff>196850</xdr:colOff>
                    <xdr:row>1</xdr:row>
                    <xdr:rowOff>171450</xdr:rowOff>
                  </to>
                </anchor>
              </controlPr>
            </control>
          </mc:Choice>
        </mc:AlternateContent>
        <mc:AlternateContent xmlns:mc="http://schemas.openxmlformats.org/markup-compatibility/2006">
          <mc:Choice Requires="x14">
            <control shapeId="1064" r:id="rId5" name="Check Box 40">
              <controlPr defaultSize="0" autoFill="0" autoLine="0" autoPict="0">
                <anchor moveWithCells="1">
                  <from>
                    <xdr:col>7</xdr:col>
                    <xdr:colOff>279400</xdr:colOff>
                    <xdr:row>1</xdr:row>
                    <xdr:rowOff>19050</xdr:rowOff>
                  </from>
                  <to>
                    <xdr:col>9</xdr:col>
                    <xdr:colOff>190500</xdr:colOff>
                    <xdr:row>1</xdr:row>
                    <xdr:rowOff>171450</xdr:rowOff>
                  </to>
                </anchor>
              </controlPr>
            </control>
          </mc:Choice>
        </mc:AlternateContent>
        <mc:AlternateContent xmlns:mc="http://schemas.openxmlformats.org/markup-compatibility/2006">
          <mc:Choice Requires="x14">
            <control shapeId="1065" r:id="rId6" name="Check Box 41">
              <controlPr defaultSize="0" autoFill="0" autoLine="0" autoPict="0">
                <anchor moveWithCells="1">
                  <from>
                    <xdr:col>6</xdr:col>
                    <xdr:colOff>222250</xdr:colOff>
                    <xdr:row>1</xdr:row>
                    <xdr:rowOff>19050</xdr:rowOff>
                  </from>
                  <to>
                    <xdr:col>7</xdr:col>
                    <xdr:colOff>273050</xdr:colOff>
                    <xdr:row>1</xdr:row>
                    <xdr:rowOff>171450</xdr:rowOff>
                  </to>
                </anchor>
              </controlPr>
            </control>
          </mc:Choice>
        </mc:AlternateContent>
        <mc:AlternateContent xmlns:mc="http://schemas.openxmlformats.org/markup-compatibility/2006">
          <mc:Choice Requires="x14">
            <control shapeId="1067" r:id="rId7" name="Check Box 43">
              <controlPr defaultSize="0" autoFill="0" autoLine="0" autoPict="0">
                <anchor moveWithCells="1">
                  <from>
                    <xdr:col>13</xdr:col>
                    <xdr:colOff>25400</xdr:colOff>
                    <xdr:row>1</xdr:row>
                    <xdr:rowOff>6350</xdr:rowOff>
                  </from>
                  <to>
                    <xdr:col>14</xdr:col>
                    <xdr:colOff>12700</xdr:colOff>
                    <xdr:row>1</xdr:row>
                    <xdr:rowOff>165100</xdr:rowOff>
                  </to>
                </anchor>
              </controlPr>
            </control>
          </mc:Choice>
        </mc:AlternateContent>
        <mc:AlternateContent xmlns:mc="http://schemas.openxmlformats.org/markup-compatibility/2006">
          <mc:Choice Requires="x14">
            <control shapeId="1068" r:id="rId8" name="Check Box 44">
              <controlPr defaultSize="0" autoFill="0" autoLine="0" autoPict="0">
                <anchor moveWithCells="1">
                  <from>
                    <xdr:col>14</xdr:col>
                    <xdr:colOff>25400</xdr:colOff>
                    <xdr:row>1</xdr:row>
                    <xdr:rowOff>19050</xdr:rowOff>
                  </from>
                  <to>
                    <xdr:col>15</xdr:col>
                    <xdr:colOff>25400</xdr:colOff>
                    <xdr:row>1</xdr:row>
                    <xdr:rowOff>165100</xdr:rowOff>
                  </to>
                </anchor>
              </controlPr>
            </control>
          </mc:Choice>
        </mc:AlternateContent>
        <mc:AlternateContent xmlns:mc="http://schemas.openxmlformats.org/markup-compatibility/2006">
          <mc:Choice Requires="x14">
            <control shapeId="1069" r:id="rId9" name="Check Box 45">
              <controlPr defaultSize="0" autoFill="0" autoLine="0" autoPict="0">
                <anchor moveWithCells="1">
                  <from>
                    <xdr:col>17</xdr:col>
                    <xdr:colOff>146050</xdr:colOff>
                    <xdr:row>1</xdr:row>
                    <xdr:rowOff>19050</xdr:rowOff>
                  </from>
                  <to>
                    <xdr:col>18</xdr:col>
                    <xdr:colOff>368300</xdr:colOff>
                    <xdr:row>1</xdr:row>
                    <xdr:rowOff>165100</xdr:rowOff>
                  </to>
                </anchor>
              </controlPr>
            </control>
          </mc:Choice>
        </mc:AlternateContent>
        <mc:AlternateContent xmlns:mc="http://schemas.openxmlformats.org/markup-compatibility/2006">
          <mc:Choice Requires="x14">
            <control shapeId="1070" r:id="rId10" name="Check Box 46">
              <controlPr defaultSize="0" autoFill="0" autoLine="0" autoPict="0">
                <anchor moveWithCells="1">
                  <from>
                    <xdr:col>15</xdr:col>
                    <xdr:colOff>31750</xdr:colOff>
                    <xdr:row>1</xdr:row>
                    <xdr:rowOff>19050</xdr:rowOff>
                  </from>
                  <to>
                    <xdr:col>17</xdr:col>
                    <xdr:colOff>95250</xdr:colOff>
                    <xdr:row>1</xdr:row>
                    <xdr:rowOff>165100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22"/>
  <sheetViews>
    <sheetView zoomScale="80" zoomScaleNormal="80" workbookViewId="0">
      <selection activeCell="C2" sqref="C2:J2"/>
    </sheetView>
  </sheetViews>
  <sheetFormatPr defaultColWidth="9.1796875" defaultRowHeight="12.5" x14ac:dyDescent="0.25"/>
  <cols>
    <col min="1" max="1" width="3.1796875" style="2" customWidth="1"/>
    <col min="2" max="2" width="8.54296875" style="2" customWidth="1"/>
    <col min="3" max="3" width="8.54296875" style="1" customWidth="1"/>
    <col min="4" max="4" width="9.81640625" style="1" bestFit="1" customWidth="1"/>
    <col min="5" max="19" width="9.26953125" style="1" customWidth="1"/>
    <col min="20" max="20" width="4.453125" style="1" customWidth="1"/>
    <col min="21" max="16384" width="9.1796875" style="1"/>
  </cols>
  <sheetData>
    <row r="1" spans="1:20" s="24" customFormat="1" ht="30" customHeight="1" x14ac:dyDescent="0.25">
      <c r="A1" s="184" t="s">
        <v>80</v>
      </c>
      <c r="B1" s="185"/>
      <c r="C1" s="185"/>
      <c r="D1" s="185"/>
      <c r="E1" s="185"/>
      <c r="F1" s="185"/>
      <c r="G1" s="185"/>
      <c r="H1" s="185"/>
      <c r="I1" s="185"/>
      <c r="J1" s="186"/>
      <c r="K1" s="187" t="s">
        <v>81</v>
      </c>
      <c r="L1" s="185"/>
      <c r="M1" s="185"/>
      <c r="N1" s="185"/>
      <c r="O1" s="185"/>
      <c r="P1" s="185"/>
      <c r="Q1" s="185"/>
      <c r="R1" s="185"/>
      <c r="S1" s="188"/>
      <c r="T1" s="23"/>
    </row>
    <row r="2" spans="1:20" ht="30" customHeight="1" x14ac:dyDescent="0.35">
      <c r="A2" s="189" t="s">
        <v>75</v>
      </c>
      <c r="B2" s="190"/>
      <c r="C2" s="144"/>
      <c r="D2" s="191"/>
      <c r="E2" s="191"/>
      <c r="F2" s="191"/>
      <c r="G2" s="191"/>
      <c r="H2" s="191"/>
      <c r="I2" s="191"/>
      <c r="J2" s="192"/>
      <c r="K2" s="26" t="s">
        <v>75</v>
      </c>
      <c r="L2" s="144"/>
      <c r="M2" s="147"/>
      <c r="N2" s="147"/>
      <c r="O2" s="147"/>
      <c r="P2" s="147"/>
      <c r="Q2" s="147"/>
      <c r="R2" s="147"/>
      <c r="S2" s="154"/>
      <c r="T2" s="3"/>
    </row>
    <row r="3" spans="1:20" ht="30" customHeight="1" thickBot="1" x14ac:dyDescent="0.4">
      <c r="A3" s="177" t="s">
        <v>75</v>
      </c>
      <c r="B3" s="178"/>
      <c r="C3" s="179"/>
      <c r="D3" s="180"/>
      <c r="E3" s="180"/>
      <c r="F3" s="180"/>
      <c r="G3" s="180"/>
      <c r="H3" s="180"/>
      <c r="I3" s="180"/>
      <c r="J3" s="181"/>
      <c r="K3" s="27" t="s">
        <v>75</v>
      </c>
      <c r="L3" s="179"/>
      <c r="M3" s="182"/>
      <c r="N3" s="182"/>
      <c r="O3" s="182"/>
      <c r="P3" s="182"/>
      <c r="Q3" s="182"/>
      <c r="R3" s="182"/>
      <c r="S3" s="183"/>
      <c r="T3" s="3"/>
    </row>
    <row r="4" spans="1:20" ht="30" customHeight="1" x14ac:dyDescent="0.25">
      <c r="A4" s="166" t="s">
        <v>84</v>
      </c>
      <c r="B4" s="166"/>
      <c r="C4" s="166"/>
      <c r="D4" s="166"/>
      <c r="E4" s="166"/>
      <c r="F4" s="166"/>
      <c r="G4" s="166"/>
      <c r="H4" s="166"/>
      <c r="I4" s="166"/>
      <c r="J4" s="166"/>
      <c r="K4" s="166"/>
      <c r="L4" s="166"/>
      <c r="M4" s="166"/>
      <c r="N4" s="166"/>
      <c r="O4" s="166"/>
      <c r="P4" s="166"/>
      <c r="Q4" s="166"/>
      <c r="R4" s="166"/>
      <c r="S4" s="166"/>
    </row>
    <row r="5" spans="1:20" ht="30" customHeight="1" thickBot="1" x14ac:dyDescent="0.3">
      <c r="A5" s="167" t="s">
        <v>212</v>
      </c>
      <c r="B5" s="168"/>
      <c r="C5" s="168"/>
      <c r="D5" s="168"/>
      <c r="E5" s="168"/>
      <c r="F5" s="168"/>
      <c r="G5" s="168"/>
      <c r="H5" s="168"/>
      <c r="I5" s="168"/>
      <c r="J5" s="168"/>
      <c r="K5" s="168"/>
      <c r="L5" s="168"/>
      <c r="M5" s="168"/>
      <c r="N5" s="168"/>
      <c r="O5" s="168"/>
      <c r="P5" s="168"/>
      <c r="Q5" s="168"/>
      <c r="R5" s="168"/>
      <c r="S5" s="168"/>
    </row>
    <row r="6" spans="1:20" ht="168.75" customHeight="1" thickBot="1" x14ac:dyDescent="0.3">
      <c r="A6" s="169"/>
      <c r="B6" s="170"/>
      <c r="C6" s="170"/>
      <c r="D6" s="170"/>
      <c r="E6" s="170"/>
      <c r="F6" s="170"/>
      <c r="G6" s="170"/>
      <c r="H6" s="170"/>
      <c r="I6" s="170"/>
      <c r="J6" s="170"/>
      <c r="K6" s="170"/>
      <c r="L6" s="170"/>
      <c r="M6" s="170"/>
      <c r="N6" s="170"/>
      <c r="O6" s="170"/>
      <c r="P6" s="170"/>
      <c r="Q6" s="170"/>
      <c r="R6" s="170"/>
      <c r="S6" s="171"/>
    </row>
    <row r="7" spans="1:20" ht="15" customHeight="1" thickBot="1" x14ac:dyDescent="0.3">
      <c r="A7" s="172"/>
      <c r="B7" s="173"/>
      <c r="C7" s="173"/>
      <c r="D7" s="173"/>
      <c r="E7" s="173"/>
      <c r="F7" s="173"/>
      <c r="G7" s="173"/>
      <c r="H7" s="173"/>
      <c r="I7" s="173"/>
      <c r="J7" s="173"/>
      <c r="K7" s="173"/>
      <c r="L7" s="173"/>
      <c r="M7" s="173"/>
      <c r="N7" s="173"/>
      <c r="O7" s="173"/>
      <c r="P7" s="173"/>
      <c r="Q7" s="173"/>
      <c r="R7" s="173"/>
      <c r="S7" s="173"/>
    </row>
    <row r="8" spans="1:20" ht="30.75" customHeight="1" thickBot="1" x14ac:dyDescent="0.3">
      <c r="A8" s="103" t="s">
        <v>73</v>
      </c>
      <c r="B8" s="174"/>
      <c r="C8" s="174"/>
      <c r="D8" s="174"/>
      <c r="E8" s="174"/>
      <c r="F8" s="174"/>
      <c r="G8" s="174"/>
      <c r="H8" s="174"/>
      <c r="I8" s="174"/>
      <c r="J8" s="174"/>
      <c r="K8" s="175" t="s">
        <v>74</v>
      </c>
      <c r="L8" s="174"/>
      <c r="M8" s="174"/>
      <c r="N8" s="174"/>
      <c r="O8" s="174"/>
      <c r="P8" s="174"/>
      <c r="Q8" s="174"/>
      <c r="R8" s="174"/>
      <c r="S8" s="176"/>
    </row>
    <row r="9" spans="1:20" ht="30.75" customHeight="1" x14ac:dyDescent="0.25">
      <c r="A9" s="159" t="s">
        <v>217</v>
      </c>
      <c r="B9" s="160"/>
      <c r="C9" s="161"/>
      <c r="D9" s="162"/>
      <c r="E9" s="162"/>
      <c r="F9" s="162"/>
      <c r="G9" s="162"/>
      <c r="H9" s="162"/>
      <c r="I9" s="162"/>
      <c r="J9" s="163"/>
      <c r="K9" s="164" t="s">
        <v>213</v>
      </c>
      <c r="L9" s="160"/>
      <c r="M9" s="161"/>
      <c r="N9" s="162"/>
      <c r="O9" s="162"/>
      <c r="P9" s="162"/>
      <c r="Q9" s="162"/>
      <c r="R9" s="162"/>
      <c r="S9" s="165"/>
    </row>
    <row r="10" spans="1:20" ht="30.75" customHeight="1" x14ac:dyDescent="0.25">
      <c r="A10" s="155" t="s">
        <v>218</v>
      </c>
      <c r="B10" s="146"/>
      <c r="C10" s="146"/>
      <c r="D10" s="144"/>
      <c r="E10" s="147"/>
      <c r="F10" s="147"/>
      <c r="G10" s="147"/>
      <c r="H10" s="147"/>
      <c r="I10" s="147"/>
      <c r="J10" s="148"/>
      <c r="K10" s="149" t="s">
        <v>214</v>
      </c>
      <c r="L10" s="146"/>
      <c r="M10" s="153"/>
      <c r="N10" s="147"/>
      <c r="O10" s="147"/>
      <c r="P10" s="147"/>
      <c r="Q10" s="147"/>
      <c r="R10" s="147"/>
      <c r="S10" s="154"/>
    </row>
    <row r="11" spans="1:20" ht="30.75" customHeight="1" x14ac:dyDescent="0.25">
      <c r="A11" s="155" t="s">
        <v>219</v>
      </c>
      <c r="B11" s="146"/>
      <c r="C11" s="144"/>
      <c r="D11" s="144"/>
      <c r="E11" s="145" t="s">
        <v>76</v>
      </c>
      <c r="F11" s="146"/>
      <c r="G11" s="144"/>
      <c r="H11" s="147"/>
      <c r="I11" s="147"/>
      <c r="J11" s="148"/>
      <c r="K11" s="149" t="s">
        <v>215</v>
      </c>
      <c r="L11" s="146"/>
      <c r="M11" s="146"/>
      <c r="N11" s="153"/>
      <c r="O11" s="147"/>
      <c r="P11" s="147"/>
      <c r="Q11" s="147"/>
      <c r="R11" s="147"/>
      <c r="S11" s="154"/>
    </row>
    <row r="12" spans="1:20" ht="30.75" customHeight="1" x14ac:dyDescent="0.25">
      <c r="A12" s="150" t="s">
        <v>220</v>
      </c>
      <c r="B12" s="151"/>
      <c r="C12" s="151"/>
      <c r="D12" s="151"/>
      <c r="E12" s="151"/>
      <c r="F12" s="151"/>
      <c r="G12" s="151"/>
      <c r="H12" s="151"/>
      <c r="I12" s="151"/>
      <c r="J12" s="152"/>
      <c r="K12" s="149" t="s">
        <v>216</v>
      </c>
      <c r="L12" s="146"/>
      <c r="M12" s="144"/>
      <c r="N12" s="147"/>
      <c r="O12" s="147"/>
      <c r="P12" s="156" t="s">
        <v>358</v>
      </c>
      <c r="Q12" s="146"/>
      <c r="R12" s="157"/>
      <c r="S12" s="158"/>
    </row>
    <row r="13" spans="1:20" ht="22.5" customHeight="1" x14ac:dyDescent="0.25">
      <c r="A13" s="136"/>
      <c r="B13" s="137"/>
      <c r="C13" s="137"/>
      <c r="D13" s="137"/>
      <c r="E13" s="137"/>
      <c r="F13" s="137"/>
      <c r="G13" s="137"/>
      <c r="H13" s="140"/>
      <c r="I13" s="120"/>
      <c r="J13" s="142"/>
      <c r="K13" s="140"/>
      <c r="L13" s="137"/>
      <c r="M13" s="137"/>
      <c r="N13" s="137"/>
      <c r="O13" s="137"/>
      <c r="P13" s="137"/>
      <c r="Q13" s="140"/>
      <c r="R13" s="120"/>
      <c r="S13" s="121"/>
    </row>
    <row r="14" spans="1:20" ht="22.5" customHeight="1" x14ac:dyDescent="0.25">
      <c r="A14" s="138"/>
      <c r="B14" s="139"/>
      <c r="C14" s="139"/>
      <c r="D14" s="139"/>
      <c r="E14" s="139"/>
      <c r="F14" s="139"/>
      <c r="G14" s="139"/>
      <c r="H14" s="140"/>
      <c r="I14" s="122"/>
      <c r="J14" s="143"/>
      <c r="K14" s="139"/>
      <c r="L14" s="139"/>
      <c r="M14" s="139"/>
      <c r="N14" s="139"/>
      <c r="O14" s="139"/>
      <c r="P14" s="139"/>
      <c r="Q14" s="140"/>
      <c r="R14" s="122"/>
      <c r="S14" s="123"/>
    </row>
    <row r="15" spans="1:20" ht="30" customHeight="1" x14ac:dyDescent="0.25">
      <c r="A15" s="124" t="s">
        <v>77</v>
      </c>
      <c r="B15" s="125"/>
      <c r="C15" s="125"/>
      <c r="D15" s="125"/>
      <c r="E15" s="125"/>
      <c r="F15" s="125"/>
      <c r="G15" s="125"/>
      <c r="H15" s="141"/>
      <c r="I15" s="126" t="s">
        <v>2</v>
      </c>
      <c r="J15" s="127"/>
      <c r="K15" s="128" t="s">
        <v>77</v>
      </c>
      <c r="L15" s="129"/>
      <c r="M15" s="129"/>
      <c r="N15" s="129"/>
      <c r="O15" s="129"/>
      <c r="P15" s="129"/>
      <c r="Q15" s="141"/>
      <c r="R15" s="128" t="s">
        <v>2</v>
      </c>
      <c r="S15" s="130"/>
    </row>
    <row r="16" spans="1:20" ht="68.25" customHeight="1" thickBot="1" x14ac:dyDescent="0.3">
      <c r="A16" s="131" t="s">
        <v>78</v>
      </c>
      <c r="B16" s="132"/>
      <c r="C16" s="132"/>
      <c r="D16" s="132"/>
      <c r="E16" s="132"/>
      <c r="F16" s="132"/>
      <c r="G16" s="132"/>
      <c r="H16" s="132"/>
      <c r="I16" s="132"/>
      <c r="J16" s="133"/>
      <c r="K16" s="134" t="s">
        <v>79</v>
      </c>
      <c r="L16" s="132"/>
      <c r="M16" s="132"/>
      <c r="N16" s="132"/>
      <c r="O16" s="132"/>
      <c r="P16" s="132"/>
      <c r="Q16" s="132"/>
      <c r="R16" s="132"/>
      <c r="S16" s="135"/>
    </row>
    <row r="17" spans="1:19" ht="15" customHeight="1" x14ac:dyDescent="0.25">
      <c r="A17" s="118"/>
      <c r="B17" s="119"/>
      <c r="C17" s="119"/>
      <c r="D17" s="119"/>
      <c r="E17" s="119"/>
      <c r="F17" s="119"/>
      <c r="G17" s="119"/>
      <c r="H17" s="119"/>
      <c r="I17" s="119"/>
      <c r="J17" s="119"/>
      <c r="K17" s="119"/>
      <c r="L17" s="119"/>
      <c r="M17" s="119"/>
      <c r="N17" s="119"/>
      <c r="O17" s="119"/>
      <c r="P17" s="119"/>
      <c r="Q17" s="119"/>
      <c r="R17" s="119"/>
      <c r="S17" s="119"/>
    </row>
    <row r="18" spans="1:19" ht="15" customHeight="1" x14ac:dyDescent="0.25">
      <c r="A18" s="118" t="s">
        <v>83</v>
      </c>
      <c r="B18" s="119"/>
      <c r="C18" s="119"/>
      <c r="D18" s="119"/>
      <c r="E18" s="119"/>
      <c r="F18" s="119"/>
      <c r="G18" s="119"/>
      <c r="H18" s="119"/>
      <c r="I18" s="119"/>
      <c r="J18" s="119"/>
      <c r="K18" s="119"/>
      <c r="L18" s="119"/>
      <c r="M18" s="119"/>
      <c r="N18" s="119"/>
      <c r="O18" s="119"/>
      <c r="P18" s="119"/>
      <c r="Q18" s="119"/>
      <c r="R18" s="119"/>
      <c r="S18" s="119"/>
    </row>
    <row r="19" spans="1:19" ht="15" customHeight="1" x14ac:dyDescent="0.25">
      <c r="A19" s="118" t="s">
        <v>392</v>
      </c>
      <c r="B19" s="119"/>
      <c r="C19" s="119"/>
      <c r="D19" s="119"/>
      <c r="E19" s="119"/>
      <c r="F19" s="119"/>
      <c r="G19" s="119"/>
      <c r="H19" s="119"/>
      <c r="I19" s="119"/>
      <c r="J19" s="119"/>
      <c r="K19" s="119"/>
      <c r="L19" s="119"/>
      <c r="M19" s="119"/>
      <c r="N19" s="119"/>
      <c r="O19" s="119"/>
      <c r="P19" s="119"/>
      <c r="Q19" s="119"/>
      <c r="R19" s="119"/>
      <c r="S19" s="119"/>
    </row>
    <row r="20" spans="1:19" ht="15" customHeight="1" x14ac:dyDescent="0.25">
      <c r="A20" s="118" t="s">
        <v>66</v>
      </c>
      <c r="B20" s="119"/>
      <c r="C20" s="119"/>
      <c r="D20" s="119"/>
      <c r="E20" s="119"/>
      <c r="F20" s="119"/>
      <c r="G20" s="119"/>
      <c r="H20" s="119"/>
      <c r="I20" s="119"/>
      <c r="J20" s="119"/>
      <c r="K20" s="119"/>
      <c r="L20" s="119"/>
      <c r="M20" s="119"/>
      <c r="N20" s="119"/>
      <c r="O20" s="119"/>
      <c r="P20" s="119"/>
      <c r="Q20" s="119"/>
      <c r="R20" s="119"/>
      <c r="S20" s="119"/>
    </row>
    <row r="21" spans="1:19" ht="15" customHeight="1" x14ac:dyDescent="0.25">
      <c r="A21" s="118" t="s">
        <v>1</v>
      </c>
      <c r="B21" s="119"/>
      <c r="C21" s="119"/>
      <c r="D21" s="119"/>
      <c r="E21" s="119"/>
      <c r="F21" s="119"/>
      <c r="G21" s="119"/>
      <c r="H21" s="119"/>
      <c r="I21" s="119"/>
      <c r="J21" s="119"/>
      <c r="K21" s="119"/>
      <c r="L21" s="119"/>
      <c r="M21" s="119"/>
      <c r="N21" s="119"/>
      <c r="O21" s="119"/>
      <c r="P21" s="119"/>
      <c r="Q21" s="119"/>
      <c r="R21" s="119"/>
      <c r="S21" s="119"/>
    </row>
    <row r="22" spans="1:19" ht="15" customHeight="1" x14ac:dyDescent="0.25">
      <c r="A22" s="118" t="s">
        <v>82</v>
      </c>
      <c r="B22" s="119"/>
      <c r="C22" s="119"/>
      <c r="D22" s="119"/>
      <c r="E22" s="119"/>
      <c r="F22" s="119"/>
      <c r="G22" s="119"/>
      <c r="H22" s="119"/>
      <c r="I22" s="119"/>
      <c r="J22" s="119"/>
      <c r="K22" s="119"/>
      <c r="L22" s="119"/>
      <c r="M22" s="119"/>
      <c r="N22" s="119"/>
      <c r="O22" s="119"/>
      <c r="P22" s="119"/>
      <c r="Q22" s="119"/>
      <c r="R22" s="119"/>
      <c r="S22" s="119"/>
    </row>
  </sheetData>
  <sheetProtection password="CD14" sheet="1" objects="1" scenarios="1" selectLockedCells="1"/>
  <mergeCells count="51">
    <mergeCell ref="A3:B3"/>
    <mergeCell ref="C3:J3"/>
    <mergeCell ref="L3:S3"/>
    <mergeCell ref="A1:J1"/>
    <mergeCell ref="K1:S1"/>
    <mergeCell ref="A2:B2"/>
    <mergeCell ref="C2:J2"/>
    <mergeCell ref="L2:S2"/>
    <mergeCell ref="A4:S4"/>
    <mergeCell ref="A5:S5"/>
    <mergeCell ref="A6:S6"/>
    <mergeCell ref="A7:S7"/>
    <mergeCell ref="A8:J8"/>
    <mergeCell ref="K8:S8"/>
    <mergeCell ref="A9:B9"/>
    <mergeCell ref="C9:J9"/>
    <mergeCell ref="K9:L9"/>
    <mergeCell ref="M9:S9"/>
    <mergeCell ref="A10:C10"/>
    <mergeCell ref="D10:J10"/>
    <mergeCell ref="K10:L10"/>
    <mergeCell ref="M10:S10"/>
    <mergeCell ref="K13:P14"/>
    <mergeCell ref="C11:D11"/>
    <mergeCell ref="E11:F11"/>
    <mergeCell ref="G11:J11"/>
    <mergeCell ref="K11:M11"/>
    <mergeCell ref="A12:J12"/>
    <mergeCell ref="K12:L12"/>
    <mergeCell ref="M12:O12"/>
    <mergeCell ref="N11:S11"/>
    <mergeCell ref="A11:B11"/>
    <mergeCell ref="P12:Q12"/>
    <mergeCell ref="R12:S12"/>
    <mergeCell ref="Q13:Q15"/>
    <mergeCell ref="A17:S17"/>
    <mergeCell ref="A22:S22"/>
    <mergeCell ref="R13:S14"/>
    <mergeCell ref="A15:G15"/>
    <mergeCell ref="I15:J15"/>
    <mergeCell ref="K15:P15"/>
    <mergeCell ref="R15:S15"/>
    <mergeCell ref="A16:J16"/>
    <mergeCell ref="K16:S16"/>
    <mergeCell ref="A18:S18"/>
    <mergeCell ref="A19:S19"/>
    <mergeCell ref="A20:S20"/>
    <mergeCell ref="A21:S21"/>
    <mergeCell ref="A13:G14"/>
    <mergeCell ref="H13:H15"/>
    <mergeCell ref="I13:J14"/>
  </mergeCells>
  <printOptions horizontalCentered="1"/>
  <pageMargins left="0.28431321084864403" right="0.28431321084864403" top="0.5" bottom="0.2" header="0.2" footer="0.1"/>
  <pageSetup scale="78" orientation="landscape" r:id="rId1"/>
  <headerFooter alignWithMargins="0">
    <oddHeader>&amp;LFORM: NDMR 03-12&amp;C&amp;"Arial,Bold"&amp;12NON-DISCHARGE MONITORING REPORT (NDMR)&amp;RPage _____ of _____</oddHeader>
  </headerFooter>
  <drawing r:id="rId2"/>
  <legacyDrawing r:id="rId3"/>
  <mc:AlternateContent xmlns:mc="http://schemas.openxmlformats.org/markup-compatibility/2006">
    <mc:Choice Requires="x14">
      <controls>
        <mc:AlternateContent xmlns:mc="http://schemas.openxmlformats.org/markup-compatibility/2006">
          <mc:Choice Requires="x14">
            <control shapeId="3080" r:id="rId4" name="Check Box 8">
              <controlPr defaultSize="0" autoFill="0" autoLine="0" autoPict="0">
                <anchor moveWithCells="1">
                  <from>
                    <xdr:col>6</xdr:col>
                    <xdr:colOff>88900</xdr:colOff>
                    <xdr:row>11</xdr:row>
                    <xdr:rowOff>50800</xdr:rowOff>
                  </from>
                  <to>
                    <xdr:col>6</xdr:col>
                    <xdr:colOff>400050</xdr:colOff>
                    <xdr:row>11</xdr:row>
                    <xdr:rowOff>196850</xdr:rowOff>
                  </to>
                </anchor>
              </controlPr>
            </control>
          </mc:Choice>
        </mc:AlternateContent>
        <mc:AlternateContent xmlns:mc="http://schemas.openxmlformats.org/markup-compatibility/2006">
          <mc:Choice Requires="x14">
            <control shapeId="3081" r:id="rId5" name="Check Box 9">
              <controlPr defaultSize="0" autoFill="0" autoLine="0" autoPict="0">
                <anchor moveWithCells="1">
                  <from>
                    <xdr:col>7</xdr:col>
                    <xdr:colOff>50800</xdr:colOff>
                    <xdr:row>11</xdr:row>
                    <xdr:rowOff>50800</xdr:rowOff>
                  </from>
                  <to>
                    <xdr:col>7</xdr:col>
                    <xdr:colOff>336550</xdr:colOff>
                    <xdr:row>11</xdr:row>
                    <xdr:rowOff>196850</xdr:rowOff>
                  </to>
                </anchor>
              </controlPr>
            </control>
          </mc:Choice>
        </mc:AlternateContent>
        <mc:AlternateContent xmlns:mc="http://schemas.openxmlformats.org/markup-compatibility/2006">
          <mc:Choice Requires="x14">
            <control shapeId="3082" r:id="rId6" name="Check Box 10">
              <controlPr defaultSize="0" autoFill="0" autoLine="0" autoPict="0">
                <anchor moveWithCells="1">
                  <from>
                    <xdr:col>15</xdr:col>
                    <xdr:colOff>260350</xdr:colOff>
                    <xdr:row>3</xdr:row>
                    <xdr:rowOff>50800</xdr:rowOff>
                  </from>
                  <to>
                    <xdr:col>17</xdr:col>
                    <xdr:colOff>6350</xdr:colOff>
                    <xdr:row>3</xdr:row>
                    <xdr:rowOff>196850</xdr:rowOff>
                  </to>
                </anchor>
              </controlPr>
            </control>
          </mc:Choice>
        </mc:AlternateContent>
        <mc:AlternateContent xmlns:mc="http://schemas.openxmlformats.org/markup-compatibility/2006">
          <mc:Choice Requires="x14">
            <control shapeId="3083" r:id="rId7" name="Check Box 11">
              <controlPr defaultSize="0" autoFill="0" autoLine="0" autoPict="0">
                <anchor moveWithCells="1">
                  <from>
                    <xdr:col>17</xdr:col>
                    <xdr:colOff>50800</xdr:colOff>
                    <xdr:row>3</xdr:row>
                    <xdr:rowOff>50800</xdr:rowOff>
                  </from>
                  <to>
                    <xdr:col>18</xdr:col>
                    <xdr:colOff>323850</xdr:colOff>
                    <xdr:row>3</xdr:row>
                    <xdr:rowOff>196850</xdr:rowOff>
                  </to>
                </anchor>
              </controlPr>
            </control>
          </mc:Choice>
        </mc:AlternateContent>
      </controls>
    </mc:Choice>
  </mc:AlternateConten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6">
    <pageSetUpPr fitToPage="1"/>
  </sheetPr>
  <dimension ref="A1:D76"/>
  <sheetViews>
    <sheetView workbookViewId="0">
      <pane ySplit="1" topLeftCell="A44" activePane="bottomLeft" state="frozen"/>
      <selection pane="bottomLeft" activeCell="A76" sqref="A76"/>
    </sheetView>
  </sheetViews>
  <sheetFormatPr defaultColWidth="22.26953125" defaultRowHeight="12" x14ac:dyDescent="0.25"/>
  <cols>
    <col min="1" max="1" width="8.1796875" style="4" bestFit="1" customWidth="1"/>
    <col min="2" max="2" width="22.453125" style="4" bestFit="1" customWidth="1"/>
    <col min="3" max="3" width="35.7265625" style="4" bestFit="1" customWidth="1"/>
    <col min="4" max="4" width="17.26953125" style="4" bestFit="1" customWidth="1"/>
    <col min="5" max="16384" width="22.26953125" style="4"/>
  </cols>
  <sheetData>
    <row r="1" spans="1:4" x14ac:dyDescent="0.25">
      <c r="A1" s="44"/>
      <c r="B1" s="43" t="s">
        <v>239</v>
      </c>
      <c r="C1" s="43" t="s">
        <v>378</v>
      </c>
      <c r="D1" s="44" t="s">
        <v>238</v>
      </c>
    </row>
    <row r="2" spans="1:4" x14ac:dyDescent="0.25">
      <c r="A2" s="40" t="s">
        <v>29</v>
      </c>
      <c r="B2" s="38" t="s">
        <v>57</v>
      </c>
      <c r="C2" s="45" t="s">
        <v>255</v>
      </c>
      <c r="D2" s="42" t="s">
        <v>222</v>
      </c>
    </row>
    <row r="3" spans="1:4" x14ac:dyDescent="0.25">
      <c r="A3" s="40" t="s">
        <v>55</v>
      </c>
      <c r="B3" s="39" t="s">
        <v>56</v>
      </c>
      <c r="C3" s="45" t="s">
        <v>288</v>
      </c>
      <c r="D3" s="42" t="s">
        <v>226</v>
      </c>
    </row>
    <row r="4" spans="1:4" x14ac:dyDescent="0.25">
      <c r="A4" s="40" t="s">
        <v>319</v>
      </c>
      <c r="B4" s="39" t="s">
        <v>356</v>
      </c>
      <c r="C4" s="45" t="s">
        <v>318</v>
      </c>
      <c r="D4" s="39" t="s">
        <v>229</v>
      </c>
    </row>
    <row r="5" spans="1:4" x14ac:dyDescent="0.25">
      <c r="A5" s="40" t="s">
        <v>12</v>
      </c>
      <c r="B5" s="38" t="s">
        <v>13</v>
      </c>
      <c r="C5" s="45" t="s">
        <v>13</v>
      </c>
      <c r="D5" s="39" t="s">
        <v>236</v>
      </c>
    </row>
    <row r="6" spans="1:4" x14ac:dyDescent="0.25">
      <c r="A6" s="40" t="s">
        <v>336</v>
      </c>
      <c r="B6" s="39" t="s">
        <v>346</v>
      </c>
      <c r="C6" s="45" t="s">
        <v>335</v>
      </c>
      <c r="D6" s="39" t="s">
        <v>330</v>
      </c>
    </row>
    <row r="7" spans="1:4" x14ac:dyDescent="0.25">
      <c r="A7" s="40" t="s">
        <v>22</v>
      </c>
      <c r="B7" s="38" t="s">
        <v>23</v>
      </c>
      <c r="C7" s="45" t="s">
        <v>260</v>
      </c>
      <c r="D7" s="39" t="s">
        <v>223</v>
      </c>
    </row>
    <row r="8" spans="1:4" ht="13.5" customHeight="1" x14ac:dyDescent="0.25">
      <c r="A8" s="40" t="s">
        <v>16</v>
      </c>
      <c r="B8" s="38" t="s">
        <v>72</v>
      </c>
      <c r="C8" s="45" t="s">
        <v>265</v>
      </c>
      <c r="D8" s="39" t="s">
        <v>223</v>
      </c>
    </row>
    <row r="9" spans="1:4" ht="13.5" customHeight="1" x14ac:dyDescent="0.25">
      <c r="A9" s="40" t="s">
        <v>53</v>
      </c>
      <c r="B9" s="38" t="s">
        <v>54</v>
      </c>
      <c r="C9" s="45" t="s">
        <v>261</v>
      </c>
      <c r="D9" s="39" t="s">
        <v>223</v>
      </c>
    </row>
    <row r="10" spans="1:4" x14ac:dyDescent="0.25">
      <c r="A10" s="40" t="s">
        <v>33</v>
      </c>
      <c r="B10" s="39" t="s">
        <v>0</v>
      </c>
      <c r="C10" s="39" t="s">
        <v>0</v>
      </c>
      <c r="D10" s="39" t="s">
        <v>230</v>
      </c>
    </row>
    <row r="11" spans="1:4" x14ac:dyDescent="0.25">
      <c r="A11" s="40" t="s">
        <v>259</v>
      </c>
      <c r="B11" s="45" t="s">
        <v>258</v>
      </c>
      <c r="C11" s="45" t="s">
        <v>258</v>
      </c>
      <c r="D11" s="39" t="s">
        <v>223</v>
      </c>
    </row>
    <row r="12" spans="1:4" x14ac:dyDescent="0.25">
      <c r="A12" s="40" t="s">
        <v>299</v>
      </c>
      <c r="B12" s="39" t="s">
        <v>366</v>
      </c>
      <c r="C12" s="45" t="s">
        <v>298</v>
      </c>
      <c r="D12" s="39" t="s">
        <v>223</v>
      </c>
    </row>
    <row r="13" spans="1:4" x14ac:dyDescent="0.25">
      <c r="A13" s="40" t="s">
        <v>45</v>
      </c>
      <c r="B13" s="38" t="s">
        <v>379</v>
      </c>
      <c r="C13" s="45" t="s">
        <v>293</v>
      </c>
      <c r="D13" s="39" t="s">
        <v>223</v>
      </c>
    </row>
    <row r="14" spans="1:4" x14ac:dyDescent="0.25">
      <c r="A14" s="40" t="s">
        <v>58</v>
      </c>
      <c r="B14" s="39" t="s">
        <v>297</v>
      </c>
      <c r="C14" s="45" t="s">
        <v>296</v>
      </c>
      <c r="D14" s="42" t="s">
        <v>237</v>
      </c>
    </row>
    <row r="15" spans="1:4" x14ac:dyDescent="0.25">
      <c r="A15" s="40" t="s">
        <v>28</v>
      </c>
      <c r="B15" s="38" t="s">
        <v>235</v>
      </c>
      <c r="C15" s="45" t="s">
        <v>235</v>
      </c>
      <c r="D15" s="39" t="s">
        <v>223</v>
      </c>
    </row>
    <row r="16" spans="1:4" x14ac:dyDescent="0.25">
      <c r="A16" s="40" t="s">
        <v>14</v>
      </c>
      <c r="B16" s="38" t="s">
        <v>367</v>
      </c>
      <c r="C16" s="45" t="s">
        <v>275</v>
      </c>
      <c r="D16" s="39" t="s">
        <v>223</v>
      </c>
    </row>
    <row r="17" spans="1:4" x14ac:dyDescent="0.25">
      <c r="A17" s="40" t="s">
        <v>48</v>
      </c>
      <c r="B17" s="38" t="s">
        <v>240</v>
      </c>
      <c r="C17" s="45" t="s">
        <v>284</v>
      </c>
      <c r="D17" s="39" t="s">
        <v>223</v>
      </c>
    </row>
    <row r="18" spans="1:4" x14ac:dyDescent="0.25">
      <c r="A18" s="40" t="s">
        <v>277</v>
      </c>
      <c r="B18" s="39" t="s">
        <v>343</v>
      </c>
      <c r="C18" s="45" t="s">
        <v>276</v>
      </c>
      <c r="D18" s="39" t="s">
        <v>223</v>
      </c>
    </row>
    <row r="19" spans="1:4" x14ac:dyDescent="0.25">
      <c r="A19" s="40" t="s">
        <v>24</v>
      </c>
      <c r="B19" s="38" t="s">
        <v>241</v>
      </c>
      <c r="C19" s="45" t="s">
        <v>278</v>
      </c>
      <c r="D19" s="39" t="s">
        <v>223</v>
      </c>
    </row>
    <row r="20" spans="1:4" x14ac:dyDescent="0.25">
      <c r="A20" s="40" t="s">
        <v>34</v>
      </c>
      <c r="B20" s="38" t="s">
        <v>380</v>
      </c>
      <c r="C20" s="45" t="s">
        <v>279</v>
      </c>
      <c r="D20" s="39" t="s">
        <v>223</v>
      </c>
    </row>
    <row r="21" spans="1:4" x14ac:dyDescent="0.25">
      <c r="A21" s="40" t="s">
        <v>19</v>
      </c>
      <c r="B21" s="38" t="s">
        <v>287</v>
      </c>
      <c r="C21" s="45" t="s">
        <v>286</v>
      </c>
      <c r="D21" s="39" t="s">
        <v>223</v>
      </c>
    </row>
    <row r="22" spans="1:4" x14ac:dyDescent="0.25">
      <c r="A22" s="40" t="s">
        <v>270</v>
      </c>
      <c r="B22" s="39" t="s">
        <v>342</v>
      </c>
      <c r="C22" s="45" t="s">
        <v>272</v>
      </c>
      <c r="D22" s="39" t="s">
        <v>223</v>
      </c>
    </row>
    <row r="23" spans="1:4" x14ac:dyDescent="0.25">
      <c r="A23" s="40" t="s">
        <v>44</v>
      </c>
      <c r="B23" s="38" t="s">
        <v>368</v>
      </c>
      <c r="C23" s="45" t="s">
        <v>268</v>
      </c>
      <c r="D23" s="39" t="s">
        <v>223</v>
      </c>
    </row>
    <row r="24" spans="1:4" x14ac:dyDescent="0.25">
      <c r="A24" s="40" t="s">
        <v>271</v>
      </c>
      <c r="B24" s="39" t="s">
        <v>341</v>
      </c>
      <c r="C24" s="45" t="s">
        <v>269</v>
      </c>
      <c r="D24" s="39" t="s">
        <v>223</v>
      </c>
    </row>
    <row r="25" spans="1:4" x14ac:dyDescent="0.25">
      <c r="A25" s="40" t="s">
        <v>41</v>
      </c>
      <c r="B25" s="38" t="s">
        <v>381</v>
      </c>
      <c r="C25" s="45" t="s">
        <v>338</v>
      </c>
      <c r="D25" s="39" t="s">
        <v>223</v>
      </c>
    </row>
    <row r="26" spans="1:4" x14ac:dyDescent="0.25">
      <c r="A26" s="40" t="s">
        <v>340</v>
      </c>
      <c r="B26" s="39" t="s">
        <v>372</v>
      </c>
      <c r="C26" s="45" t="s">
        <v>339</v>
      </c>
      <c r="D26" s="39" t="s">
        <v>223</v>
      </c>
    </row>
    <row r="27" spans="1:4" x14ac:dyDescent="0.25">
      <c r="A27" s="40" t="s">
        <v>25</v>
      </c>
      <c r="B27" s="38" t="s">
        <v>26</v>
      </c>
      <c r="C27" s="45" t="s">
        <v>246</v>
      </c>
      <c r="D27" s="39" t="s">
        <v>223</v>
      </c>
    </row>
    <row r="28" spans="1:4" x14ac:dyDescent="0.25">
      <c r="A28" s="40" t="s">
        <v>37</v>
      </c>
      <c r="B28" s="38" t="s">
        <v>38</v>
      </c>
      <c r="C28" s="45" t="s">
        <v>245</v>
      </c>
      <c r="D28" s="39" t="s">
        <v>223</v>
      </c>
    </row>
    <row r="29" spans="1:4" x14ac:dyDescent="0.25">
      <c r="A29" s="40" t="s">
        <v>8</v>
      </c>
      <c r="B29" s="38" t="s">
        <v>9</v>
      </c>
      <c r="C29" s="45" t="s">
        <v>243</v>
      </c>
      <c r="D29" s="39" t="s">
        <v>223</v>
      </c>
    </row>
    <row r="30" spans="1:4" x14ac:dyDescent="0.25">
      <c r="A30" s="40" t="s">
        <v>15</v>
      </c>
      <c r="B30" s="38" t="s">
        <v>251</v>
      </c>
      <c r="C30" s="45" t="s">
        <v>251</v>
      </c>
      <c r="D30" s="42" t="s">
        <v>225</v>
      </c>
    </row>
    <row r="31" spans="1:4" x14ac:dyDescent="0.25">
      <c r="A31" s="40" t="s">
        <v>49</v>
      </c>
      <c r="B31" s="38" t="s">
        <v>50</v>
      </c>
      <c r="C31" s="45" t="s">
        <v>244</v>
      </c>
      <c r="D31" s="39" t="s">
        <v>223</v>
      </c>
    </row>
    <row r="32" spans="1:4" x14ac:dyDescent="0.25">
      <c r="A32" s="40" t="s">
        <v>30</v>
      </c>
      <c r="B32" s="38" t="s">
        <v>377</v>
      </c>
      <c r="C32" s="45" t="s">
        <v>250</v>
      </c>
      <c r="D32" s="39" t="s">
        <v>223</v>
      </c>
    </row>
    <row r="33" spans="1:4" x14ac:dyDescent="0.25">
      <c r="A33" s="40" t="s">
        <v>249</v>
      </c>
      <c r="B33" s="39" t="s">
        <v>248</v>
      </c>
      <c r="C33" s="45" t="s">
        <v>247</v>
      </c>
      <c r="D33" s="39" t="s">
        <v>223</v>
      </c>
    </row>
    <row r="34" spans="1:4" x14ac:dyDescent="0.25">
      <c r="A34" s="40" t="s">
        <v>3</v>
      </c>
      <c r="B34" s="38" t="s">
        <v>4</v>
      </c>
      <c r="C34" s="45" t="s">
        <v>316</v>
      </c>
      <c r="D34" s="39" t="s">
        <v>223</v>
      </c>
    </row>
    <row r="35" spans="1:4" x14ac:dyDescent="0.25">
      <c r="A35" s="40" t="s">
        <v>315</v>
      </c>
      <c r="B35" s="39" t="s">
        <v>350</v>
      </c>
      <c r="C35" s="45" t="s">
        <v>314</v>
      </c>
      <c r="D35" s="39" t="s">
        <v>223</v>
      </c>
    </row>
    <row r="36" spans="1:4" x14ac:dyDescent="0.25">
      <c r="A36" s="40" t="s">
        <v>10</v>
      </c>
      <c r="B36" s="38" t="s">
        <v>11</v>
      </c>
      <c r="C36" s="45" t="s">
        <v>313</v>
      </c>
      <c r="D36" s="39" t="s">
        <v>223</v>
      </c>
    </row>
    <row r="37" spans="1:4" x14ac:dyDescent="0.25">
      <c r="A37" s="40" t="s">
        <v>20</v>
      </c>
      <c r="B37" s="38" t="s">
        <v>21</v>
      </c>
      <c r="C37" s="45" t="s">
        <v>312</v>
      </c>
      <c r="D37" s="39" t="s">
        <v>223</v>
      </c>
    </row>
    <row r="38" spans="1:4" x14ac:dyDescent="0.25">
      <c r="A38" s="40" t="s">
        <v>46</v>
      </c>
      <c r="B38" s="38" t="s">
        <v>47</v>
      </c>
      <c r="C38" s="45" t="s">
        <v>311</v>
      </c>
      <c r="D38" s="39" t="s">
        <v>223</v>
      </c>
    </row>
    <row r="39" spans="1:4" x14ac:dyDescent="0.25">
      <c r="A39" s="40" t="s">
        <v>17</v>
      </c>
      <c r="B39" s="38" t="s">
        <v>18</v>
      </c>
      <c r="C39" s="45" t="s">
        <v>310</v>
      </c>
      <c r="D39" s="39" t="s">
        <v>223</v>
      </c>
    </row>
    <row r="40" spans="1:4" x14ac:dyDescent="0.25">
      <c r="A40" s="40" t="s">
        <v>309</v>
      </c>
      <c r="B40" s="39" t="s">
        <v>351</v>
      </c>
      <c r="C40" s="45" t="s">
        <v>308</v>
      </c>
      <c r="D40" s="39" t="s">
        <v>223</v>
      </c>
    </row>
    <row r="41" spans="1:4" x14ac:dyDescent="0.25">
      <c r="A41" s="40" t="s">
        <v>31</v>
      </c>
      <c r="B41" s="38" t="s">
        <v>32</v>
      </c>
      <c r="C41" s="45" t="s">
        <v>307</v>
      </c>
      <c r="D41" s="39" t="s">
        <v>223</v>
      </c>
    </row>
    <row r="42" spans="1:4" x14ac:dyDescent="0.25">
      <c r="A42" s="40" t="s">
        <v>306</v>
      </c>
      <c r="B42" s="39" t="s">
        <v>352</v>
      </c>
      <c r="C42" s="45" t="s">
        <v>305</v>
      </c>
      <c r="D42" s="39" t="s">
        <v>223</v>
      </c>
    </row>
    <row r="43" spans="1:4" x14ac:dyDescent="0.25">
      <c r="A43" s="40" t="s">
        <v>6</v>
      </c>
      <c r="B43" s="38" t="s">
        <v>7</v>
      </c>
      <c r="C43" s="45" t="s">
        <v>303</v>
      </c>
      <c r="D43" s="39" t="s">
        <v>223</v>
      </c>
    </row>
    <row r="44" spans="1:4" x14ac:dyDescent="0.25">
      <c r="A44" s="40" t="s">
        <v>234</v>
      </c>
      <c r="B44" s="39" t="s">
        <v>233</v>
      </c>
      <c r="C44" s="45" t="s">
        <v>301</v>
      </c>
      <c r="D44" s="39" t="s">
        <v>223</v>
      </c>
    </row>
    <row r="45" spans="1:4" x14ac:dyDescent="0.25">
      <c r="A45" s="40" t="s">
        <v>51</v>
      </c>
      <c r="B45" s="38" t="s">
        <v>52</v>
      </c>
      <c r="C45" s="45" t="s">
        <v>300</v>
      </c>
      <c r="D45" s="39" t="s">
        <v>223</v>
      </c>
    </row>
    <row r="46" spans="1:4" x14ac:dyDescent="0.25">
      <c r="A46" s="40" t="s">
        <v>232</v>
      </c>
      <c r="B46" s="38" t="s">
        <v>231</v>
      </c>
      <c r="C46" s="45" t="s">
        <v>302</v>
      </c>
      <c r="D46" s="39" t="s">
        <v>223</v>
      </c>
    </row>
    <row r="47" spans="1:4" x14ac:dyDescent="0.25">
      <c r="A47" s="40" t="s">
        <v>321</v>
      </c>
      <c r="B47" s="39" t="s">
        <v>357</v>
      </c>
      <c r="C47" s="45" t="s">
        <v>320</v>
      </c>
      <c r="D47" s="39" t="s">
        <v>322</v>
      </c>
    </row>
    <row r="48" spans="1:4" x14ac:dyDescent="0.25">
      <c r="A48" s="40" t="s">
        <v>5</v>
      </c>
      <c r="B48" s="38" t="s">
        <v>227</v>
      </c>
      <c r="C48" s="45" t="s">
        <v>323</v>
      </c>
      <c r="D48" s="39" t="s">
        <v>224</v>
      </c>
    </row>
    <row r="49" spans="1:4" x14ac:dyDescent="0.25">
      <c r="A49" s="39">
        <v>31505</v>
      </c>
      <c r="B49" s="39" t="s">
        <v>227</v>
      </c>
      <c r="C49" s="45" t="s">
        <v>324</v>
      </c>
      <c r="D49" s="39" t="s">
        <v>325</v>
      </c>
    </row>
    <row r="50" spans="1:4" x14ac:dyDescent="0.25">
      <c r="A50" s="39">
        <v>31613</v>
      </c>
      <c r="B50" s="39" t="s">
        <v>387</v>
      </c>
      <c r="C50" s="45" t="s">
        <v>326</v>
      </c>
      <c r="D50" s="39" t="s">
        <v>224</v>
      </c>
    </row>
    <row r="51" spans="1:4" x14ac:dyDescent="0.25">
      <c r="A51" s="40" t="s">
        <v>27</v>
      </c>
      <c r="B51" s="38" t="s">
        <v>387</v>
      </c>
      <c r="C51" s="45" t="s">
        <v>242</v>
      </c>
      <c r="D51" s="39" t="s">
        <v>224</v>
      </c>
    </row>
    <row r="52" spans="1:4" x14ac:dyDescent="0.25">
      <c r="A52" s="39">
        <v>32106</v>
      </c>
      <c r="B52" s="39" t="s">
        <v>337</v>
      </c>
      <c r="C52" s="45" t="s">
        <v>337</v>
      </c>
      <c r="D52" s="39" t="s">
        <v>223</v>
      </c>
    </row>
    <row r="53" spans="1:4" x14ac:dyDescent="0.25">
      <c r="A53" s="39">
        <v>32730</v>
      </c>
      <c r="B53" s="39" t="s">
        <v>349</v>
      </c>
      <c r="C53" s="45" t="s">
        <v>331</v>
      </c>
      <c r="D53" s="39" t="s">
        <v>223</v>
      </c>
    </row>
    <row r="54" spans="1:4" x14ac:dyDescent="0.25">
      <c r="A54" s="40" t="s">
        <v>39</v>
      </c>
      <c r="B54" s="38" t="s">
        <v>40</v>
      </c>
      <c r="C54" s="38"/>
      <c r="D54" s="39" t="s">
        <v>223</v>
      </c>
    </row>
    <row r="55" spans="1:4" x14ac:dyDescent="0.25">
      <c r="A55" s="39">
        <v>34469</v>
      </c>
      <c r="B55" s="39" t="s">
        <v>329</v>
      </c>
      <c r="C55" s="45" t="s">
        <v>329</v>
      </c>
      <c r="D55" s="39" t="s">
        <v>330</v>
      </c>
    </row>
    <row r="56" spans="1:4" x14ac:dyDescent="0.25">
      <c r="A56" s="39">
        <v>34694</v>
      </c>
      <c r="B56" s="39" t="s">
        <v>348</v>
      </c>
      <c r="C56" s="45" t="s">
        <v>332</v>
      </c>
      <c r="D56" s="39" t="s">
        <v>223</v>
      </c>
    </row>
    <row r="57" spans="1:4" x14ac:dyDescent="0.25">
      <c r="A57" s="39">
        <v>38260</v>
      </c>
      <c r="B57" s="39" t="s">
        <v>257</v>
      </c>
      <c r="C57" s="45" t="s">
        <v>256</v>
      </c>
      <c r="D57" s="39" t="s">
        <v>223</v>
      </c>
    </row>
    <row r="58" spans="1:4" x14ac:dyDescent="0.25">
      <c r="A58" s="39">
        <v>50050</v>
      </c>
      <c r="B58" s="39" t="s">
        <v>228</v>
      </c>
      <c r="C58" s="45" t="s">
        <v>317</v>
      </c>
      <c r="D58" s="39" t="s">
        <v>229</v>
      </c>
    </row>
    <row r="59" spans="1:4" x14ac:dyDescent="0.25">
      <c r="A59" s="40" t="s">
        <v>35</v>
      </c>
      <c r="B59" s="41" t="s">
        <v>369</v>
      </c>
      <c r="C59" s="45" t="s">
        <v>36</v>
      </c>
      <c r="D59" s="39" t="s">
        <v>223</v>
      </c>
    </row>
    <row r="60" spans="1:4" x14ac:dyDescent="0.25">
      <c r="A60" s="39">
        <v>70295</v>
      </c>
      <c r="B60" s="39" t="s">
        <v>382</v>
      </c>
      <c r="C60" s="45" t="s">
        <v>295</v>
      </c>
      <c r="D60" s="39" t="s">
        <v>223</v>
      </c>
    </row>
    <row r="61" spans="1:4" x14ac:dyDescent="0.25">
      <c r="A61" s="40">
        <v>70300</v>
      </c>
      <c r="B61" s="38" t="s">
        <v>382</v>
      </c>
      <c r="C61" s="45" t="s">
        <v>294</v>
      </c>
      <c r="D61" s="39" t="s">
        <v>223</v>
      </c>
    </row>
    <row r="62" spans="1:4" x14ac:dyDescent="0.25">
      <c r="A62" s="39">
        <v>70318</v>
      </c>
      <c r="B62" s="39" t="s">
        <v>345</v>
      </c>
      <c r="C62" s="45" t="s">
        <v>289</v>
      </c>
      <c r="D62" s="39" t="s">
        <v>290</v>
      </c>
    </row>
    <row r="63" spans="1:4" x14ac:dyDescent="0.25">
      <c r="A63" s="39">
        <v>71880</v>
      </c>
      <c r="B63" s="39" t="s">
        <v>333</v>
      </c>
      <c r="C63" s="45" t="s">
        <v>333</v>
      </c>
      <c r="D63" s="39" t="s">
        <v>223</v>
      </c>
    </row>
    <row r="64" spans="1:4" x14ac:dyDescent="0.25">
      <c r="A64" s="40" t="s">
        <v>42</v>
      </c>
      <c r="B64" s="38" t="s">
        <v>43</v>
      </c>
      <c r="C64" s="45" t="s">
        <v>304</v>
      </c>
      <c r="D64" s="39" t="s">
        <v>223</v>
      </c>
    </row>
    <row r="65" spans="1:4" x14ac:dyDescent="0.25">
      <c r="A65" s="39">
        <v>78732</v>
      </c>
      <c r="B65" s="39" t="s">
        <v>383</v>
      </c>
      <c r="C65" s="45" t="s">
        <v>327</v>
      </c>
      <c r="D65" s="39" t="s">
        <v>328</v>
      </c>
    </row>
    <row r="66" spans="1:4" x14ac:dyDescent="0.25">
      <c r="A66" s="39">
        <v>80082</v>
      </c>
      <c r="B66" s="39" t="s">
        <v>384</v>
      </c>
      <c r="C66" s="45" t="s">
        <v>262</v>
      </c>
      <c r="D66" s="39" t="s">
        <v>223</v>
      </c>
    </row>
    <row r="67" spans="1:4" x14ac:dyDescent="0.25">
      <c r="A67" s="39">
        <v>81639</v>
      </c>
      <c r="B67" s="39" t="s">
        <v>380</v>
      </c>
      <c r="C67" s="45" t="s">
        <v>280</v>
      </c>
      <c r="D67" s="39" t="s">
        <v>281</v>
      </c>
    </row>
    <row r="68" spans="1:4" x14ac:dyDescent="0.25">
      <c r="A68" s="39">
        <v>81688</v>
      </c>
      <c r="B68" s="39" t="s">
        <v>347</v>
      </c>
      <c r="C68" s="45" t="s">
        <v>334</v>
      </c>
      <c r="D68" s="39" t="s">
        <v>330</v>
      </c>
    </row>
    <row r="69" spans="1:4" x14ac:dyDescent="0.25">
      <c r="A69" s="39">
        <v>82385</v>
      </c>
      <c r="B69" s="39" t="s">
        <v>344</v>
      </c>
      <c r="C69" s="45" t="s">
        <v>285</v>
      </c>
      <c r="D69" s="39" t="s">
        <v>223</v>
      </c>
    </row>
    <row r="70" spans="1:4" x14ac:dyDescent="0.25">
      <c r="A70" s="39">
        <v>82546</v>
      </c>
      <c r="B70" s="39" t="s">
        <v>253</v>
      </c>
      <c r="C70" s="45" t="s">
        <v>252</v>
      </c>
      <c r="D70" s="39" t="s">
        <v>254</v>
      </c>
    </row>
    <row r="71" spans="1:4" ht="13" x14ac:dyDescent="0.25">
      <c r="A71" s="39" t="s">
        <v>264</v>
      </c>
      <c r="B71" s="39" t="s">
        <v>354</v>
      </c>
      <c r="C71" s="45" t="s">
        <v>263</v>
      </c>
      <c r="D71" s="39" t="s">
        <v>223</v>
      </c>
    </row>
    <row r="72" spans="1:4" x14ac:dyDescent="0.25">
      <c r="A72" s="39" t="s">
        <v>292</v>
      </c>
      <c r="B72" s="39" t="s">
        <v>355</v>
      </c>
      <c r="C72" s="45" t="s">
        <v>291</v>
      </c>
      <c r="D72" s="39" t="s">
        <v>223</v>
      </c>
    </row>
    <row r="73" spans="1:4" x14ac:dyDescent="0.25">
      <c r="A73" s="39" t="s">
        <v>274</v>
      </c>
      <c r="B73" s="39" t="s">
        <v>373</v>
      </c>
      <c r="C73" s="45" t="s">
        <v>273</v>
      </c>
      <c r="D73" s="39" t="s">
        <v>223</v>
      </c>
    </row>
    <row r="74" spans="1:4" x14ac:dyDescent="0.25">
      <c r="A74" s="39" t="s">
        <v>283</v>
      </c>
      <c r="B74" s="39" t="s">
        <v>353</v>
      </c>
      <c r="C74" s="45" t="s">
        <v>282</v>
      </c>
      <c r="D74" s="39" t="s">
        <v>223</v>
      </c>
    </row>
    <row r="75" spans="1:4" x14ac:dyDescent="0.25">
      <c r="A75" s="39" t="s">
        <v>267</v>
      </c>
      <c r="B75" s="39" t="s">
        <v>374</v>
      </c>
      <c r="C75" s="45" t="s">
        <v>266</v>
      </c>
      <c r="D75" s="39" t="s">
        <v>223</v>
      </c>
    </row>
    <row r="76" spans="1:4" x14ac:dyDescent="0.25">
      <c r="A76" s="40" t="s">
        <v>393</v>
      </c>
      <c r="B76" s="39" t="s">
        <v>385</v>
      </c>
      <c r="C76" s="45" t="s">
        <v>394</v>
      </c>
      <c r="D76" s="39" t="s">
        <v>223</v>
      </c>
    </row>
  </sheetData>
  <pageMargins left="0.7" right="0.7" top="0.75" bottom="0.75" header="0.3" footer="0.3"/>
  <pageSetup scale="75" orientation="portrait" horizontalDpi="1200" verticalDpi="1200"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F101"/>
  <sheetViews>
    <sheetView workbookViewId="0">
      <selection activeCell="E8" sqref="E8"/>
    </sheetView>
  </sheetViews>
  <sheetFormatPr defaultColWidth="9.1796875" defaultRowHeight="10.5" x14ac:dyDescent="0.25"/>
  <cols>
    <col min="1" max="1" width="23.7265625" style="10" bestFit="1" customWidth="1"/>
    <col min="2" max="2" width="11" style="10" bestFit="1" customWidth="1"/>
    <col min="3" max="3" width="9.1796875" style="10"/>
    <col min="4" max="4" width="20.26953125" style="10" bestFit="1" customWidth="1"/>
    <col min="5" max="16384" width="9.1796875" style="10"/>
  </cols>
  <sheetData>
    <row r="2" spans="1:6" x14ac:dyDescent="0.25">
      <c r="A2" s="10" t="s">
        <v>185</v>
      </c>
      <c r="B2" s="10" t="s">
        <v>85</v>
      </c>
      <c r="C2" s="10">
        <v>2011</v>
      </c>
      <c r="D2" s="11" t="s">
        <v>197</v>
      </c>
      <c r="E2" s="10" t="s">
        <v>386</v>
      </c>
      <c r="F2" s="10" t="s">
        <v>365</v>
      </c>
    </row>
    <row r="3" spans="1:6" x14ac:dyDescent="0.25">
      <c r="A3" s="10" t="s">
        <v>186</v>
      </c>
      <c r="B3" s="10" t="s">
        <v>86</v>
      </c>
      <c r="C3" s="10">
        <f>1+C2</f>
        <v>2012</v>
      </c>
      <c r="D3" s="11" t="s">
        <v>198</v>
      </c>
      <c r="E3" s="10" t="s">
        <v>360</v>
      </c>
      <c r="F3" s="10" t="s">
        <v>362</v>
      </c>
    </row>
    <row r="4" spans="1:6" x14ac:dyDescent="0.25">
      <c r="A4" s="10" t="s">
        <v>187</v>
      </c>
      <c r="B4" s="10" t="s">
        <v>87</v>
      </c>
      <c r="C4" s="10">
        <f t="shared" ref="C4:C21" si="0">1+C3</f>
        <v>2013</v>
      </c>
      <c r="D4" s="11" t="s">
        <v>199</v>
      </c>
      <c r="E4" s="10" t="s">
        <v>361</v>
      </c>
    </row>
    <row r="5" spans="1:6" x14ac:dyDescent="0.25">
      <c r="A5" s="10" t="s">
        <v>188</v>
      </c>
      <c r="B5" s="10" t="s">
        <v>88</v>
      </c>
      <c r="C5" s="10">
        <f t="shared" si="0"/>
        <v>2014</v>
      </c>
      <c r="D5" s="11" t="s">
        <v>200</v>
      </c>
      <c r="E5" s="10" t="s">
        <v>362</v>
      </c>
    </row>
    <row r="6" spans="1:6" x14ac:dyDescent="0.25">
      <c r="A6" s="10" t="s">
        <v>189</v>
      </c>
      <c r="B6" s="10" t="s">
        <v>89</v>
      </c>
      <c r="C6" s="10">
        <f t="shared" si="0"/>
        <v>2015</v>
      </c>
      <c r="D6" s="11" t="s">
        <v>201</v>
      </c>
    </row>
    <row r="7" spans="1:6" x14ac:dyDescent="0.25">
      <c r="A7" s="10" t="s">
        <v>190</v>
      </c>
      <c r="B7" s="10" t="s">
        <v>90</v>
      </c>
      <c r="C7" s="10">
        <f t="shared" si="0"/>
        <v>2016</v>
      </c>
      <c r="D7" s="11" t="s">
        <v>202</v>
      </c>
    </row>
    <row r="8" spans="1:6" x14ac:dyDescent="0.25">
      <c r="A8" s="10" t="s">
        <v>191</v>
      </c>
      <c r="B8" s="10" t="s">
        <v>91</v>
      </c>
      <c r="C8" s="10">
        <f t="shared" si="0"/>
        <v>2017</v>
      </c>
      <c r="D8" s="11" t="s">
        <v>203</v>
      </c>
    </row>
    <row r="9" spans="1:6" x14ac:dyDescent="0.25">
      <c r="A9" s="10" t="s">
        <v>192</v>
      </c>
      <c r="B9" s="10" t="s">
        <v>92</v>
      </c>
      <c r="C9" s="10">
        <f t="shared" si="0"/>
        <v>2018</v>
      </c>
      <c r="D9" s="11" t="s">
        <v>204</v>
      </c>
    </row>
    <row r="10" spans="1:6" x14ac:dyDescent="0.25">
      <c r="A10" s="10" t="s">
        <v>193</v>
      </c>
      <c r="B10" s="10" t="s">
        <v>93</v>
      </c>
      <c r="C10" s="10">
        <f t="shared" si="0"/>
        <v>2019</v>
      </c>
      <c r="D10" s="11" t="s">
        <v>205</v>
      </c>
    </row>
    <row r="11" spans="1:6" x14ac:dyDescent="0.25">
      <c r="A11" s="10" t="s">
        <v>194</v>
      </c>
      <c r="B11" s="10" t="s">
        <v>94</v>
      </c>
      <c r="C11" s="10">
        <f t="shared" si="0"/>
        <v>2020</v>
      </c>
      <c r="D11" s="11" t="s">
        <v>206</v>
      </c>
    </row>
    <row r="12" spans="1:6" x14ac:dyDescent="0.25">
      <c r="A12" s="10" t="s">
        <v>195</v>
      </c>
      <c r="B12" s="10" t="s">
        <v>95</v>
      </c>
      <c r="C12" s="10">
        <f t="shared" si="0"/>
        <v>2021</v>
      </c>
      <c r="D12" s="11" t="s">
        <v>207</v>
      </c>
    </row>
    <row r="13" spans="1:6" x14ac:dyDescent="0.25">
      <c r="A13" s="10" t="s">
        <v>196</v>
      </c>
      <c r="B13" s="10" t="s">
        <v>96</v>
      </c>
      <c r="C13" s="10">
        <f t="shared" si="0"/>
        <v>2022</v>
      </c>
      <c r="D13" s="11" t="s">
        <v>208</v>
      </c>
    </row>
    <row r="14" spans="1:6" x14ac:dyDescent="0.25">
      <c r="B14" s="10" t="s">
        <v>97</v>
      </c>
      <c r="C14" s="10">
        <f t="shared" si="0"/>
        <v>2023</v>
      </c>
      <c r="D14" s="11" t="s">
        <v>209</v>
      </c>
    </row>
    <row r="15" spans="1:6" x14ac:dyDescent="0.25">
      <c r="B15" s="10" t="s">
        <v>98</v>
      </c>
      <c r="C15" s="10">
        <f t="shared" si="0"/>
        <v>2024</v>
      </c>
      <c r="D15" s="11" t="s">
        <v>210</v>
      </c>
    </row>
    <row r="16" spans="1:6" x14ac:dyDescent="0.25">
      <c r="B16" s="10" t="s">
        <v>99</v>
      </c>
      <c r="C16" s="10">
        <f t="shared" si="0"/>
        <v>2025</v>
      </c>
      <c r="D16" s="11" t="s">
        <v>211</v>
      </c>
    </row>
    <row r="17" spans="2:3" x14ac:dyDescent="0.25">
      <c r="B17" s="10" t="s">
        <v>100</v>
      </c>
      <c r="C17" s="10">
        <f t="shared" si="0"/>
        <v>2026</v>
      </c>
    </row>
    <row r="18" spans="2:3" x14ac:dyDescent="0.25">
      <c r="B18" s="10" t="s">
        <v>101</v>
      </c>
      <c r="C18" s="10">
        <f t="shared" si="0"/>
        <v>2027</v>
      </c>
    </row>
    <row r="19" spans="2:3" x14ac:dyDescent="0.25">
      <c r="B19" s="10" t="s">
        <v>102</v>
      </c>
      <c r="C19" s="10">
        <f t="shared" si="0"/>
        <v>2028</v>
      </c>
    </row>
    <row r="20" spans="2:3" x14ac:dyDescent="0.25">
      <c r="B20" s="10" t="s">
        <v>103</v>
      </c>
      <c r="C20" s="10">
        <f t="shared" si="0"/>
        <v>2029</v>
      </c>
    </row>
    <row r="21" spans="2:3" x14ac:dyDescent="0.25">
      <c r="B21" s="10" t="s">
        <v>104</v>
      </c>
      <c r="C21" s="10">
        <f t="shared" si="0"/>
        <v>2030</v>
      </c>
    </row>
    <row r="22" spans="2:3" x14ac:dyDescent="0.25">
      <c r="B22" s="10" t="s">
        <v>105</v>
      </c>
    </row>
    <row r="23" spans="2:3" x14ac:dyDescent="0.25">
      <c r="B23" s="10" t="s">
        <v>106</v>
      </c>
    </row>
    <row r="24" spans="2:3" x14ac:dyDescent="0.25">
      <c r="B24" s="10" t="s">
        <v>107</v>
      </c>
    </row>
    <row r="25" spans="2:3" x14ac:dyDescent="0.25">
      <c r="B25" s="10" t="s">
        <v>108</v>
      </c>
    </row>
    <row r="26" spans="2:3" x14ac:dyDescent="0.25">
      <c r="B26" s="10" t="s">
        <v>109</v>
      </c>
    </row>
    <row r="27" spans="2:3" x14ac:dyDescent="0.25">
      <c r="B27" s="10" t="s">
        <v>110</v>
      </c>
    </row>
    <row r="28" spans="2:3" x14ac:dyDescent="0.25">
      <c r="B28" s="10" t="s">
        <v>111</v>
      </c>
    </row>
    <row r="29" spans="2:3" x14ac:dyDescent="0.25">
      <c r="B29" s="10" t="s">
        <v>112</v>
      </c>
    </row>
    <row r="30" spans="2:3" x14ac:dyDescent="0.25">
      <c r="B30" s="10" t="s">
        <v>113</v>
      </c>
    </row>
    <row r="31" spans="2:3" x14ac:dyDescent="0.25">
      <c r="B31" s="10" t="s">
        <v>114</v>
      </c>
    </row>
    <row r="32" spans="2:3" x14ac:dyDescent="0.25">
      <c r="B32" s="10" t="s">
        <v>115</v>
      </c>
    </row>
    <row r="33" spans="2:2" x14ac:dyDescent="0.25">
      <c r="B33" s="10" t="s">
        <v>116</v>
      </c>
    </row>
    <row r="34" spans="2:2" x14ac:dyDescent="0.25">
      <c r="B34" s="10" t="s">
        <v>117</v>
      </c>
    </row>
    <row r="35" spans="2:2" x14ac:dyDescent="0.25">
      <c r="B35" s="10" t="s">
        <v>118</v>
      </c>
    </row>
    <row r="36" spans="2:2" x14ac:dyDescent="0.25">
      <c r="B36" s="10" t="s">
        <v>119</v>
      </c>
    </row>
    <row r="37" spans="2:2" x14ac:dyDescent="0.25">
      <c r="B37" s="10" t="s">
        <v>120</v>
      </c>
    </row>
    <row r="38" spans="2:2" x14ac:dyDescent="0.25">
      <c r="B38" s="10" t="s">
        <v>121</v>
      </c>
    </row>
    <row r="39" spans="2:2" x14ac:dyDescent="0.25">
      <c r="B39" s="10" t="s">
        <v>122</v>
      </c>
    </row>
    <row r="40" spans="2:2" x14ac:dyDescent="0.25">
      <c r="B40" s="10" t="s">
        <v>123</v>
      </c>
    </row>
    <row r="41" spans="2:2" x14ac:dyDescent="0.25">
      <c r="B41" s="10" t="s">
        <v>124</v>
      </c>
    </row>
    <row r="42" spans="2:2" x14ac:dyDescent="0.25">
      <c r="B42" s="10" t="s">
        <v>125</v>
      </c>
    </row>
    <row r="43" spans="2:2" x14ac:dyDescent="0.25">
      <c r="B43" s="10" t="s">
        <v>126</v>
      </c>
    </row>
    <row r="44" spans="2:2" x14ac:dyDescent="0.25">
      <c r="B44" s="10" t="s">
        <v>127</v>
      </c>
    </row>
    <row r="45" spans="2:2" x14ac:dyDescent="0.25">
      <c r="B45" s="10" t="s">
        <v>128</v>
      </c>
    </row>
    <row r="46" spans="2:2" x14ac:dyDescent="0.25">
      <c r="B46" s="10" t="s">
        <v>129</v>
      </c>
    </row>
    <row r="47" spans="2:2" x14ac:dyDescent="0.25">
      <c r="B47" s="10" t="s">
        <v>130</v>
      </c>
    </row>
    <row r="48" spans="2:2" x14ac:dyDescent="0.25">
      <c r="B48" s="10" t="s">
        <v>131</v>
      </c>
    </row>
    <row r="49" spans="2:2" x14ac:dyDescent="0.25">
      <c r="B49" s="10" t="s">
        <v>132</v>
      </c>
    </row>
    <row r="50" spans="2:2" x14ac:dyDescent="0.25">
      <c r="B50" s="10" t="s">
        <v>133</v>
      </c>
    </row>
    <row r="51" spans="2:2" x14ac:dyDescent="0.25">
      <c r="B51" s="10" t="s">
        <v>134</v>
      </c>
    </row>
    <row r="52" spans="2:2" x14ac:dyDescent="0.25">
      <c r="B52" s="10" t="s">
        <v>135</v>
      </c>
    </row>
    <row r="53" spans="2:2" x14ac:dyDescent="0.25">
      <c r="B53" s="10" t="s">
        <v>136</v>
      </c>
    </row>
    <row r="54" spans="2:2" x14ac:dyDescent="0.25">
      <c r="B54" s="10" t="s">
        <v>137</v>
      </c>
    </row>
    <row r="55" spans="2:2" x14ac:dyDescent="0.25">
      <c r="B55" s="10" t="s">
        <v>138</v>
      </c>
    </row>
    <row r="56" spans="2:2" x14ac:dyDescent="0.25">
      <c r="B56" s="10" t="s">
        <v>139</v>
      </c>
    </row>
    <row r="57" spans="2:2" x14ac:dyDescent="0.25">
      <c r="B57" s="10" t="s">
        <v>140</v>
      </c>
    </row>
    <row r="58" spans="2:2" x14ac:dyDescent="0.25">
      <c r="B58" s="10" t="s">
        <v>141</v>
      </c>
    </row>
    <row r="59" spans="2:2" x14ac:dyDescent="0.25">
      <c r="B59" s="10" t="s">
        <v>142</v>
      </c>
    </row>
    <row r="60" spans="2:2" x14ac:dyDescent="0.25">
      <c r="B60" s="10" t="s">
        <v>143</v>
      </c>
    </row>
    <row r="61" spans="2:2" x14ac:dyDescent="0.25">
      <c r="B61" s="10" t="s">
        <v>144</v>
      </c>
    </row>
    <row r="62" spans="2:2" x14ac:dyDescent="0.25">
      <c r="B62" s="10" t="s">
        <v>145</v>
      </c>
    </row>
    <row r="63" spans="2:2" x14ac:dyDescent="0.25">
      <c r="B63" s="10" t="s">
        <v>146</v>
      </c>
    </row>
    <row r="64" spans="2:2" x14ac:dyDescent="0.25">
      <c r="B64" s="10" t="s">
        <v>147</v>
      </c>
    </row>
    <row r="65" spans="2:2" x14ac:dyDescent="0.25">
      <c r="B65" s="10" t="s">
        <v>148</v>
      </c>
    </row>
    <row r="66" spans="2:2" x14ac:dyDescent="0.25">
      <c r="B66" s="10" t="s">
        <v>149</v>
      </c>
    </row>
    <row r="67" spans="2:2" x14ac:dyDescent="0.25">
      <c r="B67" s="10" t="s">
        <v>150</v>
      </c>
    </row>
    <row r="68" spans="2:2" x14ac:dyDescent="0.25">
      <c r="B68" s="10" t="s">
        <v>151</v>
      </c>
    </row>
    <row r="69" spans="2:2" x14ac:dyDescent="0.25">
      <c r="B69" s="10" t="s">
        <v>152</v>
      </c>
    </row>
    <row r="70" spans="2:2" x14ac:dyDescent="0.25">
      <c r="B70" s="10" t="s">
        <v>153</v>
      </c>
    </row>
    <row r="71" spans="2:2" x14ac:dyDescent="0.25">
      <c r="B71" s="10" t="s">
        <v>154</v>
      </c>
    </row>
    <row r="72" spans="2:2" x14ac:dyDescent="0.25">
      <c r="B72" s="10" t="s">
        <v>155</v>
      </c>
    </row>
    <row r="73" spans="2:2" x14ac:dyDescent="0.25">
      <c r="B73" s="10" t="s">
        <v>156</v>
      </c>
    </row>
    <row r="74" spans="2:2" x14ac:dyDescent="0.25">
      <c r="B74" s="10" t="s">
        <v>157</v>
      </c>
    </row>
    <row r="75" spans="2:2" x14ac:dyDescent="0.25">
      <c r="B75" s="10" t="s">
        <v>158</v>
      </c>
    </row>
    <row r="76" spans="2:2" x14ac:dyDescent="0.25">
      <c r="B76" s="10" t="s">
        <v>159</v>
      </c>
    </row>
    <row r="77" spans="2:2" x14ac:dyDescent="0.25">
      <c r="B77" s="10" t="s">
        <v>160</v>
      </c>
    </row>
    <row r="78" spans="2:2" x14ac:dyDescent="0.25">
      <c r="B78" s="10" t="s">
        <v>161</v>
      </c>
    </row>
    <row r="79" spans="2:2" x14ac:dyDescent="0.25">
      <c r="B79" s="10" t="s">
        <v>162</v>
      </c>
    </row>
    <row r="80" spans="2:2" x14ac:dyDescent="0.25">
      <c r="B80" s="10" t="s">
        <v>163</v>
      </c>
    </row>
    <row r="81" spans="2:2" x14ac:dyDescent="0.25">
      <c r="B81" s="10" t="s">
        <v>164</v>
      </c>
    </row>
    <row r="82" spans="2:2" x14ac:dyDescent="0.25">
      <c r="B82" s="10" t="s">
        <v>165</v>
      </c>
    </row>
    <row r="83" spans="2:2" x14ac:dyDescent="0.25">
      <c r="B83" s="10" t="s">
        <v>166</v>
      </c>
    </row>
    <row r="84" spans="2:2" x14ac:dyDescent="0.25">
      <c r="B84" s="10" t="s">
        <v>167</v>
      </c>
    </row>
    <row r="85" spans="2:2" x14ac:dyDescent="0.25">
      <c r="B85" s="10" t="s">
        <v>168</v>
      </c>
    </row>
    <row r="86" spans="2:2" x14ac:dyDescent="0.25">
      <c r="B86" s="10" t="s">
        <v>169</v>
      </c>
    </row>
    <row r="87" spans="2:2" x14ac:dyDescent="0.25">
      <c r="B87" s="10" t="s">
        <v>170</v>
      </c>
    </row>
    <row r="88" spans="2:2" x14ac:dyDescent="0.25">
      <c r="B88" s="10" t="s">
        <v>171</v>
      </c>
    </row>
    <row r="89" spans="2:2" x14ac:dyDescent="0.25">
      <c r="B89" s="10" t="s">
        <v>172</v>
      </c>
    </row>
    <row r="90" spans="2:2" x14ac:dyDescent="0.25">
      <c r="B90" s="10" t="s">
        <v>173</v>
      </c>
    </row>
    <row r="91" spans="2:2" x14ac:dyDescent="0.25">
      <c r="B91" s="10" t="s">
        <v>174</v>
      </c>
    </row>
    <row r="92" spans="2:2" x14ac:dyDescent="0.25">
      <c r="B92" s="10" t="s">
        <v>175</v>
      </c>
    </row>
    <row r="93" spans="2:2" x14ac:dyDescent="0.25">
      <c r="B93" s="10" t="s">
        <v>176</v>
      </c>
    </row>
    <row r="94" spans="2:2" x14ac:dyDescent="0.25">
      <c r="B94" s="10" t="s">
        <v>177</v>
      </c>
    </row>
    <row r="95" spans="2:2" x14ac:dyDescent="0.25">
      <c r="B95" s="10" t="s">
        <v>178</v>
      </c>
    </row>
    <row r="96" spans="2:2" x14ac:dyDescent="0.25">
      <c r="B96" s="10" t="s">
        <v>179</v>
      </c>
    </row>
    <row r="97" spans="2:2" x14ac:dyDescent="0.25">
      <c r="B97" s="10" t="s">
        <v>180</v>
      </c>
    </row>
    <row r="98" spans="2:2" x14ac:dyDescent="0.25">
      <c r="B98" s="10" t="s">
        <v>181</v>
      </c>
    </row>
    <row r="99" spans="2:2" x14ac:dyDescent="0.25">
      <c r="B99" s="10" t="s">
        <v>182</v>
      </c>
    </row>
    <row r="100" spans="2:2" x14ac:dyDescent="0.25">
      <c r="B100" s="10" t="s">
        <v>183</v>
      </c>
    </row>
    <row r="101" spans="2:2" x14ac:dyDescent="0.25">
      <c r="B101" s="10" t="s">
        <v>184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D186843DF82C488DD5DCB115B5CB79" ma:contentTypeVersion="14" ma:contentTypeDescription="Create a new document." ma:contentTypeScope="" ma:versionID="79dabe216593fae1323b8fc3cd33f401">
  <xsd:schema xmlns:xsd="http://www.w3.org/2001/XMLSchema" xmlns:xs="http://www.w3.org/2001/XMLSchema" xmlns:p="http://schemas.microsoft.com/office/2006/metadata/properties" xmlns:ns1="http://schemas.microsoft.com/sharepoint/v3" xmlns:ns2="fc6f6cf5-ff34-441f-8d5b-a0231be517b4" xmlns:ns3="73ad5fed-5707-4707-ae54-2603e8bcafdd" targetNamespace="http://schemas.microsoft.com/office/2006/metadata/properties" ma:root="true" ma:fieldsID="2cf1faae664718e7a73095462f1eff71" ns1:_="" ns2:_="" ns3:_="">
    <xsd:import namespace="http://schemas.microsoft.com/sharepoint/v3"/>
    <xsd:import namespace="fc6f6cf5-ff34-441f-8d5b-a0231be517b4"/>
    <xsd:import namespace="73ad5fed-5707-4707-ae54-2603e8bcafdd"/>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3:SharedWithUsers" minOccurs="0"/>
                <xsd:element ref="ns3:SharedWithDetails" minOccurs="0"/>
                <xsd:element ref="ns1:_ip_UnifiedCompliancePolicyProperties" minOccurs="0"/>
                <xsd:element ref="ns1:_ip_UnifiedCompliancePolicyUIAction" minOccurs="0"/>
                <xsd:element ref="ns2:MediaServiceLocation" minOccurs="0"/>
                <xsd:element ref="ns2:MediaServiceGenerationTime" minOccurs="0"/>
                <xsd:element ref="ns2:MediaServiceEventHashCode" minOccurs="0"/>
                <xsd:element ref="ns2:MediaServiceAutoKeyPoints" minOccurs="0"/>
                <xsd:element ref="ns2:MediaServiceKeyPoint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5" nillable="true" ma:displayName="Unified Compliance Policy Properties" ma:hidden="true" ma:internalName="_ip_UnifiedCompliancePolicyProperties">
      <xsd:simpleType>
        <xsd:restriction base="dms:Note"/>
      </xsd:simpleType>
    </xsd:element>
    <xsd:element name="_ip_UnifiedCompliancePolicyUIAction" ma:index="16"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c6f6cf5-ff34-441f-8d5b-a0231be517b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Location" ma:index="17" nillable="true" ma:displayName="Location" ma:internalName="MediaServiceLocatio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AutoKeyPoints" ma:index="20" nillable="true" ma:displayName="MediaServiceAutoKeyPoints" ma:hidden="true" ma:internalName="MediaServiceAutoKeyPoints" ma:readOnly="true">
      <xsd:simpleType>
        <xsd:restriction base="dms:Note"/>
      </xsd:simpleType>
    </xsd:element>
    <xsd:element name="MediaServiceKeyPoints" ma:index="21" nillable="true" ma:displayName="KeyPoints" ma:internalName="MediaServiceKeyPoint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73ad5fed-5707-4707-ae54-2603e8bcafdd"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9472507-2238-4AB6-888C-FAD08A934BCB}">
  <ds:schemaRefs>
    <ds:schemaRef ds:uri="http://schemas.microsoft.com/office/2006/metadata/properties"/>
    <ds:schemaRef ds:uri="http://schemas.microsoft.com/office/infopath/2007/PartnerControls"/>
    <ds:schemaRef ds:uri="http://schemas.microsoft.com/sharepoint/v3"/>
  </ds:schemaRefs>
</ds:datastoreItem>
</file>

<file path=customXml/itemProps2.xml><?xml version="1.0" encoding="utf-8"?>
<ds:datastoreItem xmlns:ds="http://schemas.openxmlformats.org/officeDocument/2006/customXml" ds:itemID="{19A06E4D-7462-4017-A171-05805D00A36F}">
  <ds:schemaRefs>
    <ds:schemaRef ds:uri="http://schemas.microsoft.com/sharepoint/v3/contenttype/forms"/>
  </ds:schemaRefs>
</ds:datastoreItem>
</file>

<file path=customXml/itemProps3.xml><?xml version="1.0" encoding="utf-8"?>
<ds:datastoreItem xmlns:ds="http://schemas.openxmlformats.org/officeDocument/2006/customXml" ds:itemID="{465061C2-006D-47F7-B933-6C7E624D2C4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fc6f6cf5-ff34-441f-8d5b-a0231be517b4"/>
    <ds:schemaRef ds:uri="73ad5fed-5707-4707-ae54-2603e8bcafd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14</vt:i4>
      </vt:variant>
    </vt:vector>
  </HeadingPairs>
  <TitlesOfParts>
    <vt:vector size="18" baseType="lpstr">
      <vt:lpstr>PPI 001</vt:lpstr>
      <vt:lpstr>Certification Page</vt:lpstr>
      <vt:lpstr>PCS Parameter Codes</vt:lpstr>
      <vt:lpstr>Dropdown Menu</vt:lpstr>
      <vt:lpstr>County</vt:lpstr>
      <vt:lpstr>Flow</vt:lpstr>
      <vt:lpstr>Month</vt:lpstr>
      <vt:lpstr>Parameters</vt:lpstr>
      <vt:lpstr>PCS</vt:lpstr>
      <vt:lpstr>PCSCODE</vt:lpstr>
      <vt:lpstr>PPI</vt:lpstr>
      <vt:lpstr>'Certification Page'!Print_Area</vt:lpstr>
      <vt:lpstr>'PCS Parameter Codes'!Print_Area</vt:lpstr>
      <vt:lpstr>'PPI 001'!Print_Area</vt:lpstr>
      <vt:lpstr>Sample</vt:lpstr>
      <vt:lpstr>SampleType</vt:lpstr>
      <vt:lpstr>SamplingType</vt:lpstr>
      <vt:lpstr>Year</vt:lpstr>
    </vt:vector>
  </TitlesOfParts>
  <Company>NCDENR</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Daryl Merritt</dc:creator>
  <cp:lastModifiedBy>Lloyd, Chloe D</cp:lastModifiedBy>
  <cp:lastPrinted>2021-11-23T15:15:15Z</cp:lastPrinted>
  <dcterms:created xsi:type="dcterms:W3CDTF">2003-04-30T19:20:22Z</dcterms:created>
  <dcterms:modified xsi:type="dcterms:W3CDTF">2021-11-23T15:15:41Z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0x01010079D186843DF82C488DD5DCB115B5CB79</vt:lpwstr>
  </property>
</Properties>
</file>