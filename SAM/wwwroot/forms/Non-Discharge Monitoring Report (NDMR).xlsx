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AM\SAM\wwwroot\forms\"/>
    </mc:Choice>
  </mc:AlternateContent>
  <bookViews>
    <workbookView xWindow="0" yWindow="0" windowWidth="23040" windowHeight="9072"/>
  </bookViews>
  <sheets>
    <sheet name="PPI 001" sheetId="1" r:id="rId1"/>
    <sheet name="Certification Page" sheetId="2" r:id="rId2"/>
    <sheet name="PCS Parameter Codes" sheetId="3" r:id="rId3"/>
    <sheet name="Dropdown Menu" sheetId="4"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Sample">'Dropdown Menu'!$E$1:$E$5</definedName>
    <definedName name="SampleType">'Dropdown Menu'!$E$2:$E$5</definedName>
    <definedName name="SamplingType">'Dropdown Menu'!$E$1:$E$4</definedName>
    <definedName name="Year">'Dropdown Menu'!$C$1:$C$21</definedName>
  </definedNames>
  <calcPr calcId="162913"/>
</workbook>
</file>

<file path=xl/calcChain.xml><?xml version="1.0" encoding="utf-8"?>
<calcChain xmlns="http://schemas.openxmlformats.org/spreadsheetml/2006/main">
  <c r="C5" i="4" l="1"/>
  <c r="C6" i="4" s="1"/>
  <c r="C7" i="4" s="1"/>
  <c r="C8" i="4" s="1"/>
  <c r="C9" i="4" s="1"/>
  <c r="C10" i="4" s="1"/>
  <c r="C11" i="4" s="1"/>
  <c r="C12" i="4" s="1"/>
  <c r="C13" i="4" s="1"/>
  <c r="C14" i="4" s="1"/>
  <c r="C15" i="4" s="1"/>
  <c r="C16" i="4" s="1"/>
  <c r="C17" i="4" s="1"/>
  <c r="C18" i="4" s="1"/>
  <c r="C19" i="4" s="1"/>
  <c r="C20" i="4" s="1"/>
  <c r="C21" i="4" s="1"/>
  <c r="C4" i="4"/>
  <c r="C3" i="4"/>
  <c r="S137" i="1"/>
  <c r="R137" i="1"/>
  <c r="Q137" i="1"/>
  <c r="P137" i="1"/>
  <c r="O137" i="1"/>
  <c r="N137" i="1"/>
  <c r="M137" i="1"/>
  <c r="L137" i="1"/>
  <c r="K137" i="1"/>
  <c r="J137" i="1"/>
  <c r="I137" i="1"/>
  <c r="H137" i="1"/>
  <c r="G137" i="1"/>
  <c r="F137" i="1"/>
  <c r="E137" i="1"/>
  <c r="S136" i="1"/>
  <c r="R136" i="1"/>
  <c r="Q136" i="1"/>
  <c r="P136" i="1"/>
  <c r="O136" i="1"/>
  <c r="N136" i="1"/>
  <c r="M136" i="1"/>
  <c r="L136" i="1"/>
  <c r="K136" i="1"/>
  <c r="J136" i="1"/>
  <c r="I136" i="1"/>
  <c r="H136" i="1"/>
  <c r="G136" i="1"/>
  <c r="F136" i="1"/>
  <c r="E136" i="1"/>
  <c r="S135" i="1"/>
  <c r="R135" i="1"/>
  <c r="Q135" i="1"/>
  <c r="P135" i="1"/>
  <c r="O135" i="1"/>
  <c r="N135" i="1"/>
  <c r="M135" i="1"/>
  <c r="L135" i="1"/>
  <c r="K135" i="1"/>
  <c r="J135" i="1"/>
  <c r="I135" i="1"/>
  <c r="H135" i="1"/>
  <c r="G135" i="1"/>
  <c r="F135" i="1"/>
  <c r="E135" i="1"/>
  <c r="S134" i="1"/>
  <c r="R134" i="1"/>
  <c r="Q134" i="1"/>
  <c r="P134" i="1"/>
  <c r="O134" i="1"/>
  <c r="N134" i="1"/>
  <c r="M134" i="1"/>
  <c r="L134" i="1"/>
  <c r="K134" i="1"/>
  <c r="J134" i="1"/>
  <c r="I134" i="1"/>
  <c r="H134" i="1"/>
  <c r="G134" i="1"/>
  <c r="F134" i="1"/>
  <c r="E134" i="1"/>
  <c r="S133" i="1"/>
  <c r="R133" i="1"/>
  <c r="Q133" i="1"/>
  <c r="P133" i="1"/>
  <c r="O133" i="1"/>
  <c r="N133" i="1"/>
  <c r="M133" i="1"/>
  <c r="L133" i="1"/>
  <c r="K133" i="1"/>
  <c r="J133" i="1"/>
  <c r="I133" i="1"/>
  <c r="H133" i="1"/>
  <c r="G133" i="1"/>
  <c r="F133" i="1"/>
  <c r="E133" i="1"/>
  <c r="S132" i="1"/>
  <c r="R132" i="1"/>
  <c r="Q132" i="1"/>
  <c r="P132" i="1"/>
  <c r="O132" i="1"/>
  <c r="N132" i="1"/>
  <c r="M132" i="1"/>
  <c r="L132" i="1"/>
  <c r="K132" i="1"/>
  <c r="J132" i="1"/>
  <c r="I132" i="1"/>
  <c r="H132" i="1"/>
  <c r="G132" i="1"/>
  <c r="F132" i="1"/>
  <c r="E132" i="1"/>
  <c r="S131" i="1"/>
  <c r="R131" i="1"/>
  <c r="Q131" i="1"/>
  <c r="P131" i="1"/>
  <c r="O131" i="1"/>
  <c r="N131" i="1"/>
  <c r="M131" i="1"/>
  <c r="L131" i="1"/>
  <c r="K131" i="1"/>
  <c r="J131" i="1"/>
  <c r="I131" i="1"/>
  <c r="H131" i="1"/>
  <c r="G131" i="1"/>
  <c r="F131" i="1"/>
  <c r="E131" i="1"/>
  <c r="S130" i="1"/>
  <c r="R130" i="1"/>
  <c r="Q130" i="1"/>
  <c r="P130" i="1"/>
  <c r="O130" i="1"/>
  <c r="N130" i="1"/>
  <c r="M130" i="1"/>
  <c r="L130" i="1"/>
  <c r="K130" i="1"/>
  <c r="J130" i="1"/>
  <c r="I130" i="1"/>
  <c r="H130" i="1"/>
  <c r="G130" i="1"/>
  <c r="F130" i="1"/>
  <c r="E130" i="1"/>
  <c r="S129" i="1"/>
  <c r="R129" i="1"/>
  <c r="Q129" i="1"/>
  <c r="P129" i="1"/>
  <c r="O129" i="1"/>
  <c r="N129" i="1"/>
  <c r="M129" i="1"/>
  <c r="L129" i="1"/>
  <c r="K129" i="1"/>
  <c r="J129" i="1"/>
  <c r="I129" i="1"/>
  <c r="H129" i="1"/>
  <c r="G129" i="1"/>
  <c r="F129" i="1"/>
  <c r="E129" i="1"/>
  <c r="S128" i="1"/>
  <c r="R128" i="1"/>
  <c r="Q128" i="1"/>
  <c r="P128" i="1"/>
  <c r="O128" i="1"/>
  <c r="N128" i="1"/>
  <c r="M128" i="1"/>
  <c r="L128" i="1"/>
  <c r="K128" i="1"/>
  <c r="J128" i="1"/>
  <c r="I128" i="1"/>
  <c r="H128" i="1"/>
  <c r="G128" i="1"/>
  <c r="F128" i="1"/>
  <c r="E128" i="1"/>
  <c r="S127" i="1"/>
  <c r="R127" i="1"/>
  <c r="Q127" i="1"/>
  <c r="P127" i="1"/>
  <c r="O127" i="1"/>
  <c r="N127" i="1"/>
  <c r="M127" i="1"/>
  <c r="L127" i="1"/>
  <c r="K127" i="1"/>
  <c r="J127" i="1"/>
  <c r="I127" i="1"/>
  <c r="H127" i="1"/>
  <c r="G127" i="1"/>
  <c r="F127" i="1"/>
  <c r="E127" i="1"/>
  <c r="S126" i="1"/>
  <c r="R126" i="1"/>
  <c r="Q126" i="1"/>
  <c r="P126" i="1"/>
  <c r="O126" i="1"/>
  <c r="N126" i="1"/>
  <c r="M126" i="1"/>
  <c r="L126" i="1"/>
  <c r="K126" i="1"/>
  <c r="J126" i="1"/>
  <c r="I126" i="1"/>
  <c r="H126" i="1"/>
  <c r="G126" i="1"/>
  <c r="F126" i="1"/>
  <c r="E126" i="1"/>
  <c r="S125" i="1"/>
  <c r="R125" i="1"/>
  <c r="Q125" i="1"/>
  <c r="P125" i="1"/>
  <c r="O125" i="1"/>
  <c r="N125" i="1"/>
  <c r="M125" i="1"/>
  <c r="L125" i="1"/>
  <c r="K125" i="1"/>
  <c r="J125" i="1"/>
  <c r="I125" i="1"/>
  <c r="H125" i="1"/>
  <c r="G125" i="1"/>
  <c r="F125" i="1"/>
  <c r="E125" i="1"/>
  <c r="S124" i="1"/>
  <c r="R124" i="1"/>
  <c r="Q124" i="1"/>
  <c r="P124" i="1"/>
  <c r="O124" i="1"/>
  <c r="N124" i="1"/>
  <c r="M124" i="1"/>
  <c r="L124" i="1"/>
  <c r="K124" i="1"/>
  <c r="J124" i="1"/>
  <c r="I124" i="1"/>
  <c r="H124" i="1"/>
  <c r="G124" i="1"/>
  <c r="F124" i="1"/>
  <c r="E124" i="1"/>
  <c r="S123" i="1"/>
  <c r="R123" i="1"/>
  <c r="Q123" i="1"/>
  <c r="P123" i="1"/>
  <c r="O123" i="1"/>
  <c r="N123" i="1"/>
  <c r="M123" i="1"/>
  <c r="L123" i="1"/>
  <c r="K123" i="1"/>
  <c r="J123" i="1"/>
  <c r="I123" i="1"/>
  <c r="H123" i="1"/>
  <c r="G123" i="1"/>
  <c r="F123" i="1"/>
  <c r="E123" i="1"/>
  <c r="S122" i="1"/>
  <c r="R122" i="1"/>
  <c r="Q122" i="1"/>
  <c r="P122" i="1"/>
  <c r="O122" i="1"/>
  <c r="N122" i="1"/>
  <c r="M122" i="1"/>
  <c r="L122" i="1"/>
  <c r="K122" i="1"/>
  <c r="J122" i="1"/>
  <c r="I122" i="1"/>
  <c r="H122" i="1"/>
  <c r="G122" i="1"/>
  <c r="F122" i="1"/>
  <c r="E122" i="1"/>
  <c r="S121" i="1"/>
  <c r="R121" i="1"/>
  <c r="Q121" i="1"/>
  <c r="P121" i="1"/>
  <c r="O121" i="1"/>
  <c r="N121" i="1"/>
  <c r="M121" i="1"/>
  <c r="L121" i="1"/>
  <c r="K121" i="1"/>
  <c r="J121" i="1"/>
  <c r="I121" i="1"/>
  <c r="H121" i="1"/>
  <c r="G121" i="1"/>
  <c r="F121" i="1"/>
  <c r="E121" i="1"/>
  <c r="S120" i="1"/>
  <c r="R120" i="1"/>
  <c r="Q120" i="1"/>
  <c r="P120" i="1"/>
  <c r="O120" i="1"/>
  <c r="N120" i="1"/>
  <c r="M120" i="1"/>
  <c r="L120" i="1"/>
  <c r="K120" i="1"/>
  <c r="J120" i="1"/>
  <c r="I120" i="1"/>
  <c r="H120" i="1"/>
  <c r="G120" i="1"/>
  <c r="F120" i="1"/>
  <c r="E120" i="1"/>
  <c r="S119" i="1"/>
  <c r="R119" i="1"/>
  <c r="Q119" i="1"/>
  <c r="P119" i="1"/>
  <c r="O119" i="1"/>
  <c r="N119" i="1"/>
  <c r="M119" i="1"/>
  <c r="L119" i="1"/>
  <c r="K119" i="1"/>
  <c r="J119" i="1"/>
  <c r="I119" i="1"/>
  <c r="H119" i="1"/>
  <c r="G119" i="1"/>
  <c r="F119" i="1"/>
  <c r="E119" i="1"/>
  <c r="S118" i="1"/>
  <c r="R118" i="1"/>
  <c r="Q118" i="1"/>
  <c r="P118" i="1"/>
  <c r="O118" i="1"/>
  <c r="N118" i="1"/>
  <c r="M118" i="1"/>
  <c r="L118" i="1"/>
  <c r="K118" i="1"/>
  <c r="J118" i="1"/>
  <c r="I118" i="1"/>
  <c r="H118" i="1"/>
  <c r="G118" i="1"/>
  <c r="F118" i="1"/>
  <c r="E118" i="1"/>
  <c r="S117" i="1"/>
  <c r="R117" i="1"/>
  <c r="Q117" i="1"/>
  <c r="P117" i="1"/>
  <c r="O117" i="1"/>
  <c r="N117" i="1"/>
  <c r="M117" i="1"/>
  <c r="L117" i="1"/>
  <c r="K117" i="1"/>
  <c r="J117" i="1"/>
  <c r="I117" i="1"/>
  <c r="H117" i="1"/>
  <c r="G117" i="1"/>
  <c r="F117" i="1"/>
  <c r="E117" i="1"/>
  <c r="S116" i="1"/>
  <c r="R116" i="1"/>
  <c r="Q116" i="1"/>
  <c r="P116" i="1"/>
  <c r="O116" i="1"/>
  <c r="N116" i="1"/>
  <c r="M116" i="1"/>
  <c r="L116" i="1"/>
  <c r="K116" i="1"/>
  <c r="J116" i="1"/>
  <c r="I116" i="1"/>
  <c r="H116" i="1"/>
  <c r="G116" i="1"/>
  <c r="F116" i="1"/>
  <c r="E116" i="1"/>
  <c r="S115" i="1"/>
  <c r="R115" i="1"/>
  <c r="Q115" i="1"/>
  <c r="P115" i="1"/>
  <c r="O115" i="1"/>
  <c r="N115" i="1"/>
  <c r="M115" i="1"/>
  <c r="L115" i="1"/>
  <c r="K115" i="1"/>
  <c r="J115" i="1"/>
  <c r="I115" i="1"/>
  <c r="H115" i="1"/>
  <c r="G115" i="1"/>
  <c r="F115" i="1"/>
  <c r="E115" i="1"/>
  <c r="S114" i="1"/>
  <c r="R114" i="1"/>
  <c r="Q114" i="1"/>
  <c r="P114" i="1"/>
  <c r="O114" i="1"/>
  <c r="N114" i="1"/>
  <c r="M114" i="1"/>
  <c r="L114" i="1"/>
  <c r="K114" i="1"/>
  <c r="J114" i="1"/>
  <c r="I114" i="1"/>
  <c r="H114" i="1"/>
  <c r="G114" i="1"/>
  <c r="F114" i="1"/>
  <c r="E114" i="1"/>
  <c r="S113" i="1"/>
  <c r="R113" i="1"/>
  <c r="Q113" i="1"/>
  <c r="P113" i="1"/>
  <c r="O113" i="1"/>
  <c r="N113" i="1"/>
  <c r="M113" i="1"/>
  <c r="L113" i="1"/>
  <c r="K113" i="1"/>
  <c r="J113" i="1"/>
  <c r="I113" i="1"/>
  <c r="H113" i="1"/>
  <c r="G113" i="1"/>
  <c r="F113" i="1"/>
  <c r="E113" i="1"/>
  <c r="S112" i="1"/>
  <c r="R112" i="1"/>
  <c r="Q112" i="1"/>
  <c r="P112" i="1"/>
  <c r="O112" i="1"/>
  <c r="N112" i="1"/>
  <c r="M112" i="1"/>
  <c r="L112" i="1"/>
  <c r="K112" i="1"/>
  <c r="J112" i="1"/>
  <c r="I112" i="1"/>
  <c r="H112" i="1"/>
  <c r="G112" i="1"/>
  <c r="F112" i="1"/>
  <c r="E112" i="1"/>
  <c r="S111" i="1"/>
  <c r="R111" i="1"/>
  <c r="Q111" i="1"/>
  <c r="P111" i="1"/>
  <c r="O111" i="1"/>
  <c r="N111" i="1"/>
  <c r="M111" i="1"/>
  <c r="L111" i="1"/>
  <c r="K111" i="1"/>
  <c r="J111" i="1"/>
  <c r="I111" i="1"/>
  <c r="H111" i="1"/>
  <c r="G111" i="1"/>
  <c r="F111" i="1"/>
  <c r="E111" i="1"/>
  <c r="S110" i="1"/>
  <c r="R110" i="1"/>
  <c r="Q110" i="1"/>
  <c r="P110" i="1"/>
  <c r="O110" i="1"/>
  <c r="N110" i="1"/>
  <c r="M110" i="1"/>
  <c r="L110" i="1"/>
  <c r="K110" i="1"/>
  <c r="J110" i="1"/>
  <c r="I110" i="1"/>
  <c r="H110" i="1"/>
  <c r="G110" i="1"/>
  <c r="F110" i="1"/>
  <c r="E110" i="1"/>
  <c r="S109" i="1"/>
  <c r="R109" i="1"/>
  <c r="Q109" i="1"/>
  <c r="P109" i="1"/>
  <c r="O109" i="1"/>
  <c r="N109" i="1"/>
  <c r="M109" i="1"/>
  <c r="L109" i="1"/>
  <c r="K109" i="1"/>
  <c r="J109" i="1"/>
  <c r="I109" i="1"/>
  <c r="H109" i="1"/>
  <c r="G109" i="1"/>
  <c r="F109" i="1"/>
  <c r="E109" i="1"/>
  <c r="S108" i="1"/>
  <c r="R108" i="1"/>
  <c r="Q108" i="1"/>
  <c r="P108" i="1"/>
  <c r="O108" i="1"/>
  <c r="N108" i="1"/>
  <c r="M108" i="1"/>
  <c r="L108" i="1"/>
  <c r="K108" i="1"/>
  <c r="J108" i="1"/>
  <c r="I108" i="1"/>
  <c r="H108" i="1"/>
  <c r="G108" i="1"/>
  <c r="F108" i="1"/>
  <c r="E108" i="1"/>
  <c r="S107" i="1"/>
  <c r="R107" i="1"/>
  <c r="Q107" i="1"/>
  <c r="P107" i="1"/>
  <c r="O107" i="1"/>
  <c r="N107" i="1"/>
  <c r="M107" i="1"/>
  <c r="L107" i="1"/>
  <c r="K107" i="1"/>
  <c r="J107" i="1"/>
  <c r="I107" i="1"/>
  <c r="H107" i="1"/>
  <c r="G107" i="1"/>
  <c r="F107" i="1"/>
  <c r="E107" i="1"/>
  <c r="S106" i="1"/>
  <c r="R106" i="1"/>
  <c r="Q106" i="1"/>
  <c r="P106" i="1"/>
  <c r="O106" i="1"/>
  <c r="N106" i="1"/>
  <c r="M106" i="1"/>
  <c r="L106" i="1"/>
  <c r="K106" i="1"/>
  <c r="J106" i="1"/>
  <c r="I106" i="1"/>
  <c r="H106" i="1"/>
  <c r="G106" i="1"/>
  <c r="F106" i="1"/>
  <c r="E106" i="1"/>
  <c r="S105" i="1"/>
  <c r="R105" i="1"/>
  <c r="Q105" i="1"/>
  <c r="P105" i="1"/>
  <c r="O105" i="1"/>
  <c r="N105" i="1"/>
  <c r="M105" i="1"/>
  <c r="L105" i="1"/>
  <c r="K105" i="1"/>
  <c r="J105" i="1"/>
  <c r="I105" i="1"/>
  <c r="H105" i="1"/>
  <c r="G105" i="1"/>
  <c r="F105" i="1"/>
  <c r="E105" i="1"/>
  <c r="S104" i="1"/>
  <c r="R104" i="1"/>
  <c r="Q104" i="1"/>
  <c r="P104" i="1"/>
  <c r="O104" i="1"/>
  <c r="N104" i="1"/>
  <c r="M104" i="1"/>
  <c r="L104" i="1"/>
  <c r="K104" i="1"/>
  <c r="J104" i="1"/>
  <c r="I104" i="1"/>
  <c r="H104" i="1"/>
  <c r="G104" i="1"/>
  <c r="F104" i="1"/>
  <c r="E104" i="1"/>
  <c r="S103" i="1"/>
  <c r="R103" i="1"/>
  <c r="Q103" i="1"/>
  <c r="P103" i="1"/>
  <c r="O103" i="1"/>
  <c r="N103" i="1"/>
  <c r="M103" i="1"/>
  <c r="L103" i="1"/>
  <c r="K103" i="1"/>
  <c r="J103" i="1"/>
  <c r="I103" i="1"/>
  <c r="H103" i="1"/>
  <c r="G103" i="1"/>
  <c r="F103" i="1"/>
  <c r="E103" i="1"/>
  <c r="S102" i="1"/>
  <c r="R102" i="1"/>
  <c r="Q102" i="1"/>
  <c r="P102" i="1"/>
  <c r="O102" i="1"/>
  <c r="N102" i="1"/>
  <c r="M102" i="1"/>
  <c r="L102" i="1"/>
  <c r="K102" i="1"/>
  <c r="J102" i="1"/>
  <c r="I102" i="1"/>
  <c r="H102" i="1"/>
  <c r="G102" i="1"/>
  <c r="F102" i="1"/>
  <c r="E102" i="1"/>
  <c r="S101" i="1"/>
  <c r="R101" i="1"/>
  <c r="Q101" i="1"/>
  <c r="P101" i="1"/>
  <c r="O101" i="1"/>
  <c r="N101" i="1"/>
  <c r="M101" i="1"/>
  <c r="L101" i="1"/>
  <c r="K101" i="1"/>
  <c r="J101" i="1"/>
  <c r="I101" i="1"/>
  <c r="H101" i="1"/>
  <c r="G101" i="1"/>
  <c r="F101" i="1"/>
  <c r="E101" i="1"/>
  <c r="S100" i="1"/>
  <c r="R100" i="1"/>
  <c r="Q100" i="1"/>
  <c r="P100" i="1"/>
  <c r="O100" i="1"/>
  <c r="N100" i="1"/>
  <c r="M100" i="1"/>
  <c r="L100" i="1"/>
  <c r="K100" i="1"/>
  <c r="J100" i="1"/>
  <c r="I100" i="1"/>
  <c r="H100" i="1"/>
  <c r="G100" i="1"/>
  <c r="F100" i="1"/>
  <c r="E100" i="1"/>
  <c r="S99" i="1"/>
  <c r="R99" i="1"/>
  <c r="Q99" i="1"/>
  <c r="P99" i="1"/>
  <c r="O99" i="1"/>
  <c r="N99" i="1"/>
  <c r="M99" i="1"/>
  <c r="L99" i="1"/>
  <c r="K99" i="1"/>
  <c r="J99" i="1"/>
  <c r="I99" i="1"/>
  <c r="H99" i="1"/>
  <c r="G99" i="1"/>
  <c r="F99" i="1"/>
  <c r="E99" i="1"/>
  <c r="S98" i="1"/>
  <c r="R98" i="1"/>
  <c r="Q98" i="1"/>
  <c r="P98" i="1"/>
  <c r="O98" i="1"/>
  <c r="N98" i="1"/>
  <c r="M98" i="1"/>
  <c r="L98" i="1"/>
  <c r="K98" i="1"/>
  <c r="J98" i="1"/>
  <c r="I98" i="1"/>
  <c r="H98" i="1"/>
  <c r="G98" i="1"/>
  <c r="F98" i="1"/>
  <c r="E98" i="1"/>
  <c r="S97" i="1"/>
  <c r="R97" i="1"/>
  <c r="Q97" i="1"/>
  <c r="P97" i="1"/>
  <c r="O97" i="1"/>
  <c r="N97" i="1"/>
  <c r="M97" i="1"/>
  <c r="L97" i="1"/>
  <c r="K97" i="1"/>
  <c r="J97" i="1"/>
  <c r="I97" i="1"/>
  <c r="H97" i="1"/>
  <c r="G97" i="1"/>
  <c r="F97" i="1"/>
  <c r="E97" i="1"/>
  <c r="S96" i="1"/>
  <c r="R96" i="1"/>
  <c r="Q96" i="1"/>
  <c r="P96" i="1"/>
  <c r="O96" i="1"/>
  <c r="N96" i="1"/>
  <c r="M96" i="1"/>
  <c r="L96" i="1"/>
  <c r="K96" i="1"/>
  <c r="J96" i="1"/>
  <c r="I96" i="1"/>
  <c r="H96" i="1"/>
  <c r="G96" i="1"/>
  <c r="F96" i="1"/>
  <c r="E96" i="1"/>
  <c r="S95" i="1"/>
  <c r="R95" i="1"/>
  <c r="Q95" i="1"/>
  <c r="P95" i="1"/>
  <c r="O95" i="1"/>
  <c r="N95" i="1"/>
  <c r="M95" i="1"/>
  <c r="L95" i="1"/>
  <c r="K95" i="1"/>
  <c r="J95" i="1"/>
  <c r="I95" i="1"/>
  <c r="H95" i="1"/>
  <c r="G95" i="1"/>
  <c r="F95" i="1"/>
  <c r="E95" i="1"/>
  <c r="S94" i="1"/>
  <c r="R94" i="1"/>
  <c r="Q94" i="1"/>
  <c r="P94" i="1"/>
  <c r="O94" i="1"/>
  <c r="N94" i="1"/>
  <c r="M94" i="1"/>
  <c r="L94" i="1"/>
  <c r="K94" i="1"/>
  <c r="J94" i="1"/>
  <c r="I94" i="1"/>
  <c r="H94" i="1"/>
  <c r="G94" i="1"/>
  <c r="F94" i="1"/>
  <c r="E94" i="1"/>
  <c r="S93" i="1"/>
  <c r="R93" i="1"/>
  <c r="Q93" i="1"/>
  <c r="P93" i="1"/>
  <c r="O93" i="1"/>
  <c r="N93" i="1"/>
  <c r="M93" i="1"/>
  <c r="L93" i="1"/>
  <c r="K93" i="1"/>
  <c r="J93" i="1"/>
  <c r="I93" i="1"/>
  <c r="H93" i="1"/>
  <c r="G93" i="1"/>
  <c r="F93" i="1"/>
  <c r="E93" i="1"/>
  <c r="S92" i="1"/>
  <c r="R92" i="1"/>
  <c r="Q92" i="1"/>
  <c r="P92" i="1"/>
  <c r="O92" i="1"/>
  <c r="N92" i="1"/>
  <c r="M92" i="1"/>
  <c r="L92" i="1"/>
  <c r="K92" i="1"/>
  <c r="J92" i="1"/>
  <c r="I92" i="1"/>
  <c r="H92" i="1"/>
  <c r="G92" i="1"/>
  <c r="F92" i="1"/>
  <c r="E92" i="1"/>
  <c r="S91" i="1"/>
  <c r="R91" i="1"/>
  <c r="Q91" i="1"/>
  <c r="P91" i="1"/>
  <c r="O91" i="1"/>
  <c r="N91" i="1"/>
  <c r="M91" i="1"/>
  <c r="L91" i="1"/>
  <c r="K91" i="1"/>
  <c r="J91" i="1"/>
  <c r="I91" i="1"/>
  <c r="H91" i="1"/>
  <c r="G91" i="1"/>
  <c r="F91" i="1"/>
  <c r="E91" i="1"/>
  <c r="S90" i="1"/>
  <c r="R90" i="1"/>
  <c r="Q90" i="1"/>
  <c r="P90" i="1"/>
  <c r="O90" i="1"/>
  <c r="N90" i="1"/>
  <c r="M90" i="1"/>
  <c r="L90" i="1"/>
  <c r="K90" i="1"/>
  <c r="J90" i="1"/>
  <c r="I90" i="1"/>
  <c r="H90" i="1"/>
  <c r="G90" i="1"/>
  <c r="F90" i="1"/>
  <c r="E90" i="1"/>
  <c r="S89" i="1"/>
  <c r="R89" i="1"/>
  <c r="Q89" i="1"/>
  <c r="P89" i="1"/>
  <c r="O89" i="1"/>
  <c r="N89" i="1"/>
  <c r="M89" i="1"/>
  <c r="L89" i="1"/>
  <c r="K89" i="1"/>
  <c r="J89" i="1"/>
  <c r="I89" i="1"/>
  <c r="H89" i="1"/>
  <c r="G89" i="1"/>
  <c r="F89" i="1"/>
  <c r="E89" i="1"/>
  <c r="S88" i="1"/>
  <c r="R88" i="1"/>
  <c r="Q88" i="1"/>
  <c r="P88" i="1"/>
  <c r="O88" i="1"/>
  <c r="N88" i="1"/>
  <c r="M88" i="1"/>
  <c r="L88" i="1"/>
  <c r="K88" i="1"/>
  <c r="J88" i="1"/>
  <c r="I88" i="1"/>
  <c r="H88" i="1"/>
  <c r="G88" i="1"/>
  <c r="F88" i="1"/>
  <c r="E88" i="1"/>
  <c r="S87" i="1"/>
  <c r="R87" i="1"/>
  <c r="Q87" i="1"/>
  <c r="P87" i="1"/>
  <c r="O87" i="1"/>
  <c r="N87" i="1"/>
  <c r="M87" i="1"/>
  <c r="L87" i="1"/>
  <c r="K87" i="1"/>
  <c r="J87" i="1"/>
  <c r="I87" i="1"/>
  <c r="H87" i="1"/>
  <c r="G87" i="1"/>
  <c r="F87" i="1"/>
  <c r="E87" i="1"/>
  <c r="S86" i="1"/>
  <c r="R86" i="1"/>
  <c r="Q86" i="1"/>
  <c r="P86" i="1"/>
  <c r="O86" i="1"/>
  <c r="N86" i="1"/>
  <c r="M86" i="1"/>
  <c r="L86" i="1"/>
  <c r="K86" i="1"/>
  <c r="J86" i="1"/>
  <c r="I86" i="1"/>
  <c r="H86" i="1"/>
  <c r="G86" i="1"/>
  <c r="F86" i="1"/>
  <c r="E86" i="1"/>
  <c r="S85" i="1"/>
  <c r="R85" i="1"/>
  <c r="Q85" i="1"/>
  <c r="P85" i="1"/>
  <c r="O85" i="1"/>
  <c r="N85" i="1"/>
  <c r="M85" i="1"/>
  <c r="L85" i="1"/>
  <c r="K85" i="1"/>
  <c r="J85" i="1"/>
  <c r="I85" i="1"/>
  <c r="H85" i="1"/>
  <c r="G85" i="1"/>
  <c r="F85" i="1"/>
  <c r="E85" i="1"/>
  <c r="S84" i="1"/>
  <c r="R84" i="1"/>
  <c r="Q84" i="1"/>
  <c r="P84" i="1"/>
  <c r="O84" i="1"/>
  <c r="N84" i="1"/>
  <c r="M84" i="1"/>
  <c r="L84" i="1"/>
  <c r="K84" i="1"/>
  <c r="J84" i="1"/>
  <c r="I84" i="1"/>
  <c r="H84" i="1"/>
  <c r="G84" i="1"/>
  <c r="F84" i="1"/>
  <c r="E84" i="1"/>
  <c r="S83" i="1"/>
  <c r="R83" i="1"/>
  <c r="Q83" i="1"/>
  <c r="P83" i="1"/>
  <c r="O83" i="1"/>
  <c r="N83" i="1"/>
  <c r="M83" i="1"/>
  <c r="L83" i="1"/>
  <c r="K83" i="1"/>
  <c r="J83" i="1"/>
  <c r="I83" i="1"/>
  <c r="H83" i="1"/>
  <c r="G83" i="1"/>
  <c r="F83" i="1"/>
  <c r="E83" i="1"/>
  <c r="S82" i="1"/>
  <c r="R82" i="1"/>
  <c r="Q82" i="1"/>
  <c r="P82" i="1"/>
  <c r="O82" i="1"/>
  <c r="N82" i="1"/>
  <c r="M82" i="1"/>
  <c r="L82" i="1"/>
  <c r="K82" i="1"/>
  <c r="J82" i="1"/>
  <c r="I82" i="1"/>
  <c r="H82" i="1"/>
  <c r="G82" i="1"/>
  <c r="F82" i="1"/>
  <c r="E82" i="1"/>
  <c r="S81" i="1"/>
  <c r="R81" i="1"/>
  <c r="Q81" i="1"/>
  <c r="P81" i="1"/>
  <c r="O81" i="1"/>
  <c r="N81" i="1"/>
  <c r="M81" i="1"/>
  <c r="L81" i="1"/>
  <c r="K81" i="1"/>
  <c r="J81" i="1"/>
  <c r="I81" i="1"/>
  <c r="H81" i="1"/>
  <c r="G81" i="1"/>
  <c r="F81" i="1"/>
  <c r="E81" i="1"/>
  <c r="S80" i="1"/>
  <c r="R80" i="1"/>
  <c r="Q80" i="1"/>
  <c r="P80" i="1"/>
  <c r="O80" i="1"/>
  <c r="N80" i="1"/>
  <c r="M80" i="1"/>
  <c r="L80" i="1"/>
  <c r="K80" i="1"/>
  <c r="J80" i="1"/>
  <c r="I80" i="1"/>
  <c r="H80" i="1"/>
  <c r="G80" i="1"/>
  <c r="F80" i="1"/>
  <c r="E80" i="1"/>
  <c r="S79" i="1"/>
  <c r="R79" i="1"/>
  <c r="Q79" i="1"/>
  <c r="P79" i="1"/>
  <c r="O79" i="1"/>
  <c r="N79" i="1"/>
  <c r="M79" i="1"/>
  <c r="L79" i="1"/>
  <c r="K79" i="1"/>
  <c r="J79" i="1"/>
  <c r="I79" i="1"/>
  <c r="H79" i="1"/>
  <c r="G79" i="1"/>
  <c r="F79" i="1"/>
  <c r="E79" i="1"/>
  <c r="S78" i="1"/>
  <c r="R78" i="1"/>
  <c r="Q78" i="1"/>
  <c r="P78" i="1"/>
  <c r="O78" i="1"/>
  <c r="N78" i="1"/>
  <c r="M78" i="1"/>
  <c r="L78" i="1"/>
  <c r="K78" i="1"/>
  <c r="J78" i="1"/>
  <c r="I78" i="1"/>
  <c r="H78" i="1"/>
  <c r="G78" i="1"/>
  <c r="F78" i="1"/>
  <c r="E78" i="1"/>
  <c r="S77" i="1"/>
  <c r="R77" i="1"/>
  <c r="Q77" i="1"/>
  <c r="P77" i="1"/>
  <c r="O77" i="1"/>
  <c r="N77" i="1"/>
  <c r="M77" i="1"/>
  <c r="L77" i="1"/>
  <c r="K77" i="1"/>
  <c r="J77" i="1"/>
  <c r="I77" i="1"/>
  <c r="H77" i="1"/>
  <c r="G77" i="1"/>
  <c r="F77" i="1"/>
  <c r="E77" i="1"/>
  <c r="S76" i="1"/>
  <c r="R76" i="1"/>
  <c r="Q76" i="1"/>
  <c r="P76" i="1"/>
  <c r="O76" i="1"/>
  <c r="N76" i="1"/>
  <c r="M76" i="1"/>
  <c r="L76" i="1"/>
  <c r="K76" i="1"/>
  <c r="J76" i="1"/>
  <c r="I76" i="1"/>
  <c r="H76" i="1"/>
  <c r="G76" i="1"/>
  <c r="F76" i="1"/>
  <c r="E76" i="1"/>
  <c r="S75" i="1"/>
  <c r="R75" i="1"/>
  <c r="Q75" i="1"/>
  <c r="P75" i="1"/>
  <c r="O75" i="1"/>
  <c r="N75" i="1"/>
  <c r="M75" i="1"/>
  <c r="L75" i="1"/>
  <c r="K75" i="1"/>
  <c r="J75" i="1"/>
  <c r="I75" i="1"/>
  <c r="H75" i="1"/>
  <c r="G75" i="1"/>
  <c r="F75" i="1"/>
  <c r="E75" i="1"/>
  <c r="S74" i="1"/>
  <c r="R74" i="1"/>
  <c r="Q74" i="1"/>
  <c r="P74" i="1"/>
  <c r="O74" i="1"/>
  <c r="N74" i="1"/>
  <c r="M74" i="1"/>
  <c r="L74" i="1"/>
  <c r="K74" i="1"/>
  <c r="J74" i="1"/>
  <c r="I74" i="1"/>
  <c r="H74" i="1"/>
  <c r="G74" i="1"/>
  <c r="F74" i="1"/>
  <c r="E74" i="1"/>
  <c r="S73" i="1"/>
  <c r="R73" i="1"/>
  <c r="Q73" i="1"/>
  <c r="P73" i="1"/>
  <c r="O73" i="1"/>
  <c r="N73" i="1"/>
  <c r="M73" i="1"/>
  <c r="L73" i="1"/>
  <c r="K73" i="1"/>
  <c r="J73" i="1"/>
  <c r="I73" i="1"/>
  <c r="H73" i="1"/>
  <c r="G73" i="1"/>
  <c r="F73" i="1"/>
  <c r="E73" i="1"/>
  <c r="S72" i="1"/>
  <c r="R72" i="1"/>
  <c r="Q72" i="1"/>
  <c r="P72" i="1"/>
  <c r="O72" i="1"/>
  <c r="N72" i="1"/>
  <c r="M72" i="1"/>
  <c r="L72" i="1"/>
  <c r="K72" i="1"/>
  <c r="J72" i="1"/>
  <c r="I72" i="1"/>
  <c r="H72" i="1"/>
  <c r="G72" i="1"/>
  <c r="F72" i="1"/>
  <c r="E72" i="1"/>
  <c r="S71" i="1"/>
  <c r="R71" i="1"/>
  <c r="Q71" i="1"/>
  <c r="P71" i="1"/>
  <c r="O71" i="1"/>
  <c r="N71" i="1"/>
  <c r="M71" i="1"/>
  <c r="L71" i="1"/>
  <c r="K71" i="1"/>
  <c r="J71" i="1"/>
  <c r="I71" i="1"/>
  <c r="H71" i="1"/>
  <c r="G71" i="1"/>
  <c r="F71" i="1"/>
  <c r="E71" i="1"/>
  <c r="S70" i="1"/>
  <c r="R70" i="1"/>
  <c r="Q70" i="1"/>
  <c r="P70" i="1"/>
  <c r="O70" i="1"/>
  <c r="N70" i="1"/>
  <c r="M70" i="1"/>
  <c r="L70" i="1"/>
  <c r="K70" i="1"/>
  <c r="J70" i="1"/>
  <c r="I70" i="1"/>
  <c r="H70" i="1"/>
  <c r="G70" i="1"/>
  <c r="F70" i="1"/>
  <c r="E70" i="1"/>
  <c r="S69" i="1"/>
  <c r="R69" i="1"/>
  <c r="Q69" i="1"/>
  <c r="P69" i="1"/>
  <c r="O69" i="1"/>
  <c r="N69" i="1"/>
  <c r="M69" i="1"/>
  <c r="L69" i="1"/>
  <c r="K69" i="1"/>
  <c r="J69" i="1"/>
  <c r="I69" i="1"/>
  <c r="H69" i="1"/>
  <c r="G69" i="1"/>
  <c r="F69" i="1"/>
  <c r="E69" i="1"/>
  <c r="S68" i="1"/>
  <c r="R68" i="1"/>
  <c r="Q68" i="1"/>
  <c r="P68" i="1"/>
  <c r="O68" i="1"/>
  <c r="N68" i="1"/>
  <c r="M68" i="1"/>
  <c r="L68" i="1"/>
  <c r="K68" i="1"/>
  <c r="J68" i="1"/>
  <c r="I68" i="1"/>
  <c r="H68" i="1"/>
  <c r="G68" i="1"/>
  <c r="F68" i="1"/>
  <c r="E68" i="1"/>
  <c r="S67" i="1"/>
  <c r="R67" i="1"/>
  <c r="Q67" i="1"/>
  <c r="P67" i="1"/>
  <c r="O67" i="1"/>
  <c r="N67" i="1"/>
  <c r="M67" i="1"/>
  <c r="L67" i="1"/>
  <c r="K67" i="1"/>
  <c r="J67" i="1"/>
  <c r="I67" i="1"/>
  <c r="H67" i="1"/>
  <c r="G67" i="1"/>
  <c r="F67" i="1"/>
  <c r="E67" i="1"/>
  <c r="S66" i="1"/>
  <c r="R66" i="1"/>
  <c r="Q66" i="1"/>
  <c r="P66" i="1"/>
  <c r="O66" i="1"/>
  <c r="N66" i="1"/>
  <c r="M66" i="1"/>
  <c r="L66" i="1"/>
  <c r="K66" i="1"/>
  <c r="J66" i="1"/>
  <c r="I66" i="1"/>
  <c r="H66" i="1"/>
  <c r="G66" i="1"/>
  <c r="F66" i="1"/>
  <c r="E66" i="1"/>
  <c r="S65" i="1"/>
  <c r="R65" i="1"/>
  <c r="Q65" i="1"/>
  <c r="P65" i="1"/>
  <c r="O65" i="1"/>
  <c r="N65" i="1"/>
  <c r="M65" i="1"/>
  <c r="L65" i="1"/>
  <c r="K65" i="1"/>
  <c r="J65" i="1"/>
  <c r="I65" i="1"/>
  <c r="H65" i="1"/>
  <c r="G65" i="1"/>
  <c r="F65" i="1"/>
  <c r="E65" i="1"/>
  <c r="S64" i="1"/>
  <c r="R64" i="1"/>
  <c r="Q64" i="1"/>
  <c r="P64" i="1"/>
  <c r="O64" i="1"/>
  <c r="N64" i="1"/>
  <c r="M64" i="1"/>
  <c r="L64" i="1"/>
  <c r="K64" i="1"/>
  <c r="J64" i="1"/>
  <c r="I64" i="1"/>
  <c r="H64" i="1"/>
  <c r="G64" i="1"/>
  <c r="F64" i="1"/>
  <c r="E64" i="1"/>
  <c r="S63" i="1"/>
  <c r="R63" i="1"/>
  <c r="Q63" i="1"/>
  <c r="P63" i="1"/>
  <c r="O63" i="1"/>
  <c r="N63" i="1"/>
  <c r="M63" i="1"/>
  <c r="L63" i="1"/>
  <c r="K63" i="1"/>
  <c r="J63" i="1"/>
  <c r="I63" i="1"/>
  <c r="H63" i="1"/>
  <c r="G63" i="1"/>
  <c r="F63" i="1"/>
  <c r="E63" i="1"/>
  <c r="S62" i="1"/>
  <c r="R62" i="1"/>
  <c r="Q62" i="1"/>
  <c r="P62" i="1"/>
  <c r="O62" i="1"/>
  <c r="N62" i="1"/>
  <c r="M62" i="1"/>
  <c r="L62" i="1"/>
  <c r="K62" i="1"/>
  <c r="J62" i="1"/>
  <c r="I62" i="1"/>
  <c r="H62" i="1"/>
  <c r="G62" i="1"/>
  <c r="F62" i="1"/>
  <c r="E62" i="1"/>
  <c r="S61" i="1"/>
  <c r="R61" i="1"/>
  <c r="Q61" i="1"/>
  <c r="P61" i="1"/>
  <c r="O61" i="1"/>
  <c r="N61" i="1"/>
  <c r="M61" i="1"/>
  <c r="L61" i="1"/>
  <c r="K61" i="1"/>
  <c r="J61" i="1"/>
  <c r="I61" i="1"/>
  <c r="H61" i="1"/>
  <c r="G61" i="1"/>
  <c r="F61" i="1"/>
  <c r="E61" i="1"/>
  <c r="S60" i="1"/>
  <c r="R60" i="1"/>
  <c r="Q60" i="1"/>
  <c r="P60" i="1"/>
  <c r="O60" i="1"/>
  <c r="N60" i="1"/>
  <c r="M60" i="1"/>
  <c r="L60" i="1"/>
  <c r="K60" i="1"/>
  <c r="J60" i="1"/>
  <c r="I60" i="1"/>
  <c r="H60" i="1"/>
  <c r="G60" i="1"/>
  <c r="F60" i="1"/>
  <c r="E60" i="1"/>
  <c r="S59" i="1"/>
  <c r="R59" i="1"/>
  <c r="Q59" i="1"/>
  <c r="P59" i="1"/>
  <c r="O59" i="1"/>
  <c r="N59" i="1"/>
  <c r="M59" i="1"/>
  <c r="L59" i="1"/>
  <c r="K59" i="1"/>
  <c r="J59" i="1"/>
  <c r="I59" i="1"/>
  <c r="H59" i="1"/>
  <c r="G59" i="1"/>
  <c r="F59" i="1"/>
  <c r="E59" i="1"/>
  <c r="S58" i="1"/>
  <c r="R58" i="1"/>
  <c r="Q58" i="1"/>
  <c r="P58" i="1"/>
  <c r="O58" i="1"/>
  <c r="N58" i="1"/>
  <c r="M58" i="1"/>
  <c r="L58" i="1"/>
  <c r="K58" i="1"/>
  <c r="J58" i="1"/>
  <c r="I58" i="1"/>
  <c r="H58" i="1"/>
  <c r="G58" i="1"/>
  <c r="F58" i="1"/>
  <c r="E58" i="1"/>
  <c r="S57" i="1"/>
  <c r="R57" i="1"/>
  <c r="Q57" i="1"/>
  <c r="P57" i="1"/>
  <c r="O57" i="1"/>
  <c r="N57" i="1"/>
  <c r="M57" i="1"/>
  <c r="L57" i="1"/>
  <c r="K57" i="1"/>
  <c r="J57" i="1"/>
  <c r="I57" i="1"/>
  <c r="H57" i="1"/>
  <c r="G57" i="1"/>
  <c r="F57" i="1"/>
  <c r="E57" i="1"/>
  <c r="S56" i="1"/>
  <c r="R56" i="1"/>
  <c r="Q56" i="1"/>
  <c r="P56" i="1"/>
  <c r="O56" i="1"/>
  <c r="N56" i="1"/>
  <c r="M56" i="1"/>
  <c r="L56" i="1"/>
  <c r="K56" i="1"/>
  <c r="J56" i="1"/>
  <c r="I56" i="1"/>
  <c r="H56" i="1"/>
  <c r="G56" i="1"/>
  <c r="F56" i="1"/>
  <c r="E56" i="1"/>
  <c r="S55" i="1"/>
  <c r="R55" i="1"/>
  <c r="Q55" i="1"/>
  <c r="P55" i="1"/>
  <c r="O55" i="1"/>
  <c r="N55" i="1"/>
  <c r="M55" i="1"/>
  <c r="L55" i="1"/>
  <c r="K55" i="1"/>
  <c r="J55" i="1"/>
  <c r="I55" i="1"/>
  <c r="H55" i="1"/>
  <c r="G55" i="1"/>
  <c r="F55" i="1"/>
  <c r="E55" i="1"/>
  <c r="S54" i="1"/>
  <c r="R54" i="1"/>
  <c r="Q54" i="1"/>
  <c r="P54" i="1"/>
  <c r="O54" i="1"/>
  <c r="N54" i="1"/>
  <c r="M54" i="1"/>
  <c r="L54" i="1"/>
  <c r="K54" i="1"/>
  <c r="J54" i="1"/>
  <c r="I54" i="1"/>
  <c r="H54" i="1"/>
  <c r="G54" i="1"/>
  <c r="F54" i="1"/>
  <c r="E54" i="1"/>
  <c r="S53" i="1"/>
  <c r="R53" i="1"/>
  <c r="Q53" i="1"/>
  <c r="P53" i="1"/>
  <c r="O53" i="1"/>
  <c r="N53" i="1"/>
  <c r="M53" i="1"/>
  <c r="L53" i="1"/>
  <c r="K53" i="1"/>
  <c r="J53" i="1"/>
  <c r="I53" i="1"/>
  <c r="H53" i="1"/>
  <c r="G53" i="1"/>
  <c r="F53" i="1"/>
  <c r="E53" i="1"/>
  <c r="S52" i="1"/>
  <c r="R52" i="1"/>
  <c r="Q52" i="1"/>
  <c r="P52" i="1"/>
  <c r="O52" i="1"/>
  <c r="N52" i="1"/>
  <c r="M52" i="1"/>
  <c r="L52" i="1"/>
  <c r="K52" i="1"/>
  <c r="J52" i="1"/>
  <c r="I52" i="1"/>
  <c r="H52" i="1"/>
  <c r="G52" i="1"/>
  <c r="F52" i="1"/>
  <c r="E52" i="1"/>
  <c r="S51" i="1"/>
  <c r="R51" i="1"/>
  <c r="Q51" i="1"/>
  <c r="P51" i="1"/>
  <c r="O51" i="1"/>
  <c r="N51" i="1"/>
  <c r="M51" i="1"/>
  <c r="L51" i="1"/>
  <c r="K51" i="1"/>
  <c r="J51" i="1"/>
  <c r="I51" i="1"/>
  <c r="H51" i="1"/>
  <c r="G51" i="1"/>
  <c r="F51" i="1"/>
  <c r="E51" i="1"/>
  <c r="S50" i="1"/>
  <c r="R50" i="1"/>
  <c r="Q50" i="1"/>
  <c r="P50" i="1"/>
  <c r="O50" i="1"/>
  <c r="N50" i="1"/>
  <c r="M50" i="1"/>
  <c r="L50" i="1"/>
  <c r="K50" i="1"/>
  <c r="J50" i="1"/>
  <c r="I50" i="1"/>
  <c r="H50" i="1"/>
  <c r="G50" i="1"/>
  <c r="F50" i="1"/>
  <c r="E50" i="1"/>
  <c r="S49" i="1"/>
  <c r="R49" i="1"/>
  <c r="Q49" i="1"/>
  <c r="P49" i="1"/>
  <c r="O49" i="1"/>
  <c r="N49" i="1"/>
  <c r="M49" i="1"/>
  <c r="L49" i="1"/>
  <c r="K49" i="1"/>
  <c r="J49" i="1"/>
  <c r="I49" i="1"/>
  <c r="H49" i="1"/>
  <c r="G49" i="1"/>
  <c r="F49" i="1"/>
  <c r="E49" i="1"/>
  <c r="S48" i="1"/>
  <c r="R48" i="1"/>
  <c r="Q48" i="1"/>
  <c r="P48" i="1"/>
  <c r="O48" i="1"/>
  <c r="N48" i="1"/>
  <c r="M48" i="1"/>
  <c r="L48" i="1"/>
  <c r="K48" i="1"/>
  <c r="J48" i="1"/>
  <c r="I48" i="1"/>
  <c r="H48" i="1"/>
  <c r="G48" i="1"/>
  <c r="F48" i="1"/>
  <c r="E48" i="1"/>
  <c r="S47" i="1"/>
  <c r="R47" i="1"/>
  <c r="Q47" i="1"/>
  <c r="P47" i="1"/>
  <c r="O47" i="1"/>
  <c r="N47" i="1"/>
  <c r="M47" i="1"/>
  <c r="L47" i="1"/>
  <c r="K47" i="1"/>
  <c r="J47" i="1"/>
  <c r="I47" i="1"/>
  <c r="H47" i="1"/>
  <c r="G47" i="1"/>
  <c r="F47" i="1"/>
  <c r="E47" i="1"/>
  <c r="S46" i="1"/>
  <c r="R46" i="1"/>
  <c r="Q46" i="1"/>
  <c r="P46" i="1"/>
  <c r="O46" i="1"/>
  <c r="N46" i="1"/>
  <c r="M46" i="1"/>
  <c r="L46" i="1"/>
  <c r="K46" i="1"/>
  <c r="J46" i="1"/>
  <c r="I46" i="1"/>
  <c r="H46" i="1"/>
  <c r="G46" i="1"/>
  <c r="F46" i="1"/>
  <c r="E46" i="1"/>
  <c r="S45" i="1"/>
  <c r="R45" i="1"/>
  <c r="Q45" i="1"/>
  <c r="P45" i="1"/>
  <c r="O45" i="1"/>
  <c r="N45" i="1"/>
  <c r="M45" i="1"/>
  <c r="L45" i="1"/>
  <c r="K45" i="1"/>
  <c r="J45" i="1"/>
  <c r="I45" i="1"/>
  <c r="H45" i="1"/>
  <c r="G45" i="1"/>
  <c r="F45" i="1"/>
  <c r="E45" i="1"/>
  <c r="S39" i="1"/>
  <c r="R39" i="1"/>
  <c r="Q39" i="1"/>
  <c r="P39" i="1"/>
  <c r="O39" i="1"/>
  <c r="N39" i="1"/>
  <c r="M39" i="1"/>
  <c r="L39" i="1"/>
  <c r="K39" i="1"/>
  <c r="J39" i="1"/>
  <c r="I39" i="1"/>
  <c r="H39" i="1"/>
  <c r="G39" i="1"/>
  <c r="F39" i="1"/>
  <c r="E39" i="1"/>
  <c r="D39" i="1"/>
  <c r="S38" i="1"/>
  <c r="R38" i="1"/>
  <c r="Q38" i="1"/>
  <c r="P38" i="1"/>
  <c r="O38" i="1"/>
  <c r="N38" i="1"/>
  <c r="M38" i="1"/>
  <c r="L38" i="1"/>
  <c r="K38" i="1"/>
  <c r="J38" i="1"/>
  <c r="I38" i="1"/>
  <c r="H38" i="1"/>
  <c r="G38" i="1"/>
  <c r="F38" i="1"/>
  <c r="E38" i="1"/>
  <c r="D38" i="1"/>
  <c r="S37" i="1"/>
  <c r="R37" i="1"/>
  <c r="Q37" i="1"/>
  <c r="P37" i="1"/>
  <c r="O37" i="1"/>
  <c r="N37" i="1"/>
  <c r="M37" i="1"/>
  <c r="L37" i="1"/>
  <c r="K37" i="1"/>
  <c r="J37" i="1"/>
  <c r="I37" i="1"/>
  <c r="H37" i="1"/>
  <c r="G37" i="1"/>
  <c r="F37" i="1"/>
  <c r="E37" i="1"/>
  <c r="D37" i="1"/>
  <c r="S5" i="1"/>
  <c r="R5" i="1"/>
  <c r="Q5" i="1"/>
  <c r="P5" i="1"/>
  <c r="O5" i="1"/>
  <c r="N5" i="1"/>
  <c r="M5" i="1"/>
  <c r="L5" i="1"/>
  <c r="K5" i="1"/>
  <c r="J5" i="1"/>
  <c r="I5" i="1"/>
  <c r="H5" i="1"/>
  <c r="G5" i="1"/>
  <c r="F5" i="1"/>
  <c r="E5" i="1"/>
  <c r="S4" i="1"/>
  <c r="R4" i="1"/>
  <c r="Q4" i="1"/>
  <c r="P4" i="1"/>
  <c r="O4" i="1"/>
  <c r="N4" i="1"/>
  <c r="M4" i="1"/>
  <c r="L4" i="1"/>
  <c r="K4" i="1"/>
  <c r="J4" i="1"/>
  <c r="I4" i="1"/>
  <c r="H4" i="1"/>
  <c r="G4" i="1"/>
  <c r="F4" i="1"/>
  <c r="E4" i="1"/>
</calcChain>
</file>

<file path=xl/comments1.xml><?xml version="1.0" encoding="utf-8"?>
<comments xmlns="http://schemas.openxmlformats.org/spreadsheetml/2006/main">
  <authors>
    <author>tc={2df082ef-4394-4154-879b-0a750d8e8d04}</author>
    <author>tc={13be15d1-b125-43bf-afe2-0d6da3b39581}</author>
    <author>tc={09cf7ed6-f1cf-4eba-9c6f-9677ab27e589}</author>
    <author>tc={b37abf1f-075e-42de-a524-26d8eb58f734}</author>
    <author>tc={d8490feb-9b8f-4ea1-9539-1f5a32bd3784}</author>
    <author>tc={8a83d4a8-d499-4063-b636-832c068776ee}</author>
    <author>tc={c11d303e-f2ed-4cef-bacb-a84f7ca715c2}</author>
    <author>tc={7faa0318-00e5-4cec-9ae6-c07d826f94ff}</author>
    <author>tc={d3a0e88e-9386-4a4a-8cab-dfd7cf9deaae}</author>
    <author>tc={1b82da85-dc68-4302-af43-a5893ed67188}</author>
    <author>tc={45265f7a-4b79-4afb-a5ae-3079e8b08333}</author>
    <author>tc={fbe54064-4e03-439f-b4ad-e95ca79b7d85}</author>
    <author>tc={e903b228-f536-4578-a0a2-4190e806f75f}</author>
    <author>tc={80c8f540-70f8-4d8f-b396-3b64a051b6d2}</author>
    <author>tc={18b06592-a39f-4cef-b2c1-7833363fcd7e}</author>
    <author>tc={0f8aaf28-e0a2-4f8b-a358-cdf541585368}</author>
    <author>tc={c75d1c4d-ad19-47f9-80ff-c593bb722771}</author>
    <author>tc={aaab3e8a-c373-4612-88f8-a9a72108063d}</author>
    <author>tc={4a100ecc-359f-48bb-a18d-635fa9be454b}</author>
    <author>tc={6606441a-e3de-4333-b656-85e2b2154649}</author>
    <author>tc={e4a1c66a-6d88-4a07-aba4-269a6d269573}</author>
    <author>tc={906da189-2552-4551-84d1-217683d7b418}</author>
    <author>tc={99b916d5-d17e-4ab6-841a-3f2d811af0b2}</author>
    <author>tc={86457462-de9a-4083-b59a-51af1fd9ff1b}</author>
    <author>tc={e03a4b53-a7f1-426b-87bb-c9c4e121c528}</author>
    <author>tc={de255037-056c-4043-aeed-2f4cd87a72f6}</author>
    <author>tc={fdf1cc13-afba-4077-bd66-182c865b6131}</author>
    <author>tc={8b97b8d1-3015-43fa-bcca-63e88f6561e9}</author>
    <author>tc={a31c61f0-6352-4bbd-99af-0f57255ca25f}</author>
    <author>tc={fc9740df-ea19-4245-b1ba-f551d8b72b13}</author>
    <author>tc={3c173303-8aaf-4a79-8825-03c8ad462ed9}</author>
    <author>tc={84a60f2b-06fd-47d3-900f-890ad597526e}</author>
    <author>tc={24daa771-5954-4ea8-8ee1-1cd9d66e3130}</author>
  </authors>
  <commentList>
    <comment ref="A2"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appropriate PPI number may be found in Attachment A of your most recently issued permit.
</t>
        </r>
      </text>
    </comment>
    <comment ref="E3"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F3"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G3"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H3"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I3"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J3" authorId="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K3" authorId="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L3" authorId="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M3" authorId="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N3" authorId="1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O3" authorId="1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P3" authorId="1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Q3" authorId="1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R3" authorId="1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S3" authorId="1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Input the PCS Code located in Attachment A of your permit.
</t>
        </r>
      </text>
    </comment>
    <comment ref="B4" authorId="1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Use 24-hour clock
</t>
        </r>
      </text>
    </comment>
    <comment ref="C4" authorId="1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Use decimal hours.
</t>
        </r>
      </text>
    </comment>
    <comment ref="E5" authorId="1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F5" authorId="1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G5" authorId="2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H5" authorId="2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I5" authorId="2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J5" authorId="2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K5" authorId="2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L5" authorId="2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M5" authorId="2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N5" authorId="2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O5" authorId="2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P5" authorId="2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Q5" authorId="3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R5" authorId="3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 ref="S5" authorId="3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the DWQ accepted units do not match your Attachment A, email nathaniel.thornburg@ncdenr.gov for assistance.
</t>
        </r>
      </text>
    </comment>
  </commentList>
</comments>
</file>

<file path=xl/comments2.xml><?xml version="1.0" encoding="utf-8"?>
<comments xmlns="http://schemas.openxmlformats.org/spreadsheetml/2006/main">
  <authors>
    <author>tc={eb9f0f26-ee30-4eb3-bb9d-84daecaa408f}</author>
  </authors>
  <commentList>
    <comment ref="D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accepted units do not match your Attachment A, email nathaniel.thornburg@ncdenr.gov for assistance.
</t>
        </r>
      </text>
    </comment>
  </commentList>
</comments>
</file>

<file path=xl/sharedStrings.xml><?xml version="1.0" encoding="utf-8"?>
<sst xmlns="http://schemas.openxmlformats.org/spreadsheetml/2006/main" count="474" uniqueCount="395">
  <si>
    <t xml:space="preserve"> Permit No.:</t>
  </si>
  <si>
    <t>Facility Name:</t>
  </si>
  <si>
    <t>County:</t>
  </si>
  <si>
    <t>Month:</t>
  </si>
  <si>
    <t>Year:</t>
  </si>
  <si>
    <t>PPI:</t>
  </si>
  <si>
    <t xml:space="preserve"> Flow Measuring Point:</t>
  </si>
  <si>
    <t xml:space="preserve"> Parameter Monitoring Point:</t>
  </si>
  <si>
    <t xml:space="preserve">Parameter Code </t>
  </si>
  <si>
    <t>Day</t>
  </si>
  <si>
    <t>ORC Arrival Time</t>
  </si>
  <si>
    <t>ORC Time On Site</t>
  </si>
  <si>
    <t>Flow</t>
  </si>
  <si>
    <t>24-hr</t>
  </si>
  <si>
    <t>hrs</t>
  </si>
  <si>
    <t>GPD</t>
  </si>
  <si>
    <t>Average:</t>
  </si>
  <si>
    <t>Daily Maximum:</t>
  </si>
  <si>
    <t>Daily Minimum:</t>
  </si>
  <si>
    <t>Sampling Type:</t>
  </si>
  <si>
    <t>Monthly Avg. Limit:</t>
  </si>
  <si>
    <t>Daily Limit:</t>
  </si>
  <si>
    <t>Sample Frequency:</t>
  </si>
  <si>
    <t>Average</t>
  </si>
  <si>
    <t>Geomean</t>
  </si>
  <si>
    <t>MAX/MIN</t>
  </si>
  <si>
    <t>Sampling Person(s)</t>
  </si>
  <si>
    <t>Certified Laboratories</t>
  </si>
  <si>
    <t>Name:</t>
  </si>
  <si>
    <t>Does all monitoring data and sampling frequencies meet the requirements in Attachment A of your permit?</t>
  </si>
  <si>
    <t>If the facility is non-compliant, please explain in the space below the reason(s) the facility was not in compliance.  Provide in your explanation the date(s) of the non-compliance and describe the corrective action(s) taken. Attach additional sheets if necessary.</t>
  </si>
  <si>
    <t>Operator in Responsible Charge (ORC) Certification</t>
  </si>
  <si>
    <t>Permittee Certification</t>
  </si>
  <si>
    <t xml:space="preserve"> ORC:</t>
  </si>
  <si>
    <t xml:space="preserve"> Permittee:</t>
  </si>
  <si>
    <t xml:space="preserve"> Certification No.:</t>
  </si>
  <si>
    <t xml:space="preserve"> Signing Official:</t>
  </si>
  <si>
    <t xml:space="preserve"> Grade:</t>
  </si>
  <si>
    <t>Phone Number:</t>
  </si>
  <si>
    <t xml:space="preserve"> Signing Official's Title:</t>
  </si>
  <si>
    <t xml:space="preserve"> Has the ORC changed since the previous NDMR?</t>
  </si>
  <si>
    <t xml:space="preserve"> Phone Number:</t>
  </si>
  <si>
    <t>Permit Expiration:</t>
  </si>
  <si>
    <t>Signature</t>
  </si>
  <si>
    <t>Date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</si>
  <si>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</si>
  <si>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</si>
  <si>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Mail Original and Two Copies to:</t>
  </si>
  <si>
    <t>Division of Water Resources</t>
  </si>
  <si>
    <t>Information Processing Unit</t>
  </si>
  <si>
    <t>1617 Mail Service Center</t>
  </si>
  <si>
    <t>Raleigh, North Carolina 27699-1617</t>
  </si>
  <si>
    <t>User Friendly Name</t>
  </si>
  <si>
    <t>Official Parameter Name</t>
  </si>
  <si>
    <t>DWQ Accepted Units</t>
  </si>
  <si>
    <t>00010</t>
  </si>
  <si>
    <t>Temperature</t>
  </si>
  <si>
    <t>Temperature, Water Deg. Centigrade</t>
  </si>
  <si>
    <t>ºC</t>
  </si>
  <si>
    <t>00076</t>
  </si>
  <si>
    <t>Turbidity</t>
  </si>
  <si>
    <t>Turbidity, HCH Turbidimeter</t>
  </si>
  <si>
    <t>NTU</t>
  </si>
  <si>
    <t>00092</t>
  </si>
  <si>
    <t>Flow - Maximum</t>
  </si>
  <si>
    <t>Flow, Maximum Flow Range</t>
  </si>
  <si>
    <t>00094</t>
  </si>
  <si>
    <t>Conductivity</t>
  </si>
  <si>
    <t>µΩ</t>
  </si>
  <si>
    <t>00125</t>
  </si>
  <si>
    <t>Dichlorobenzene</t>
  </si>
  <si>
    <t>Dichlorobenzene (Isomers) M/P In Water ug/l</t>
  </si>
  <si>
    <t>µg/L</t>
  </si>
  <si>
    <t>00300</t>
  </si>
  <si>
    <t>Dissolved Oxygen</t>
  </si>
  <si>
    <t>DO, Oxygen, Dissolved</t>
  </si>
  <si>
    <t>mg/L</t>
  </si>
  <si>
    <t>00310</t>
  </si>
  <si>
    <r>
      <rPr>
        <sz val="8"/>
        <color theme="1"/>
        <rFont val="Trebuchet MS"/>
      </rPr>
      <t>BOD</t>
    </r>
    <r>
      <rPr>
        <vertAlign val="subscript"/>
        <sz val="8"/>
        <color theme="1"/>
        <rFont val="Trebuchet MS"/>
      </rPr>
      <t>5</t>
    </r>
  </si>
  <si>
    <t>BOD, 5-Day (20 Deg. C)</t>
  </si>
  <si>
    <t>00340</t>
  </si>
  <si>
    <t>COD</t>
  </si>
  <si>
    <t>COD, Oxygen Demand, Chem. (High Level)</t>
  </si>
  <si>
    <t>00400</t>
  </si>
  <si>
    <t>pH</t>
  </si>
  <si>
    <t>su</t>
  </si>
  <si>
    <t>00480</t>
  </si>
  <si>
    <t>Salinity</t>
  </si>
  <si>
    <t>00515</t>
  </si>
  <si>
    <t>Total Filterable Residue</t>
  </si>
  <si>
    <t>Residue, Tot Fltrble (dried at 105C)</t>
  </si>
  <si>
    <t>00530</t>
  </si>
  <si>
    <t>Total Suspended Solids</t>
  </si>
  <si>
    <t>Solids, Total Suspended</t>
  </si>
  <si>
    <t>00545</t>
  </si>
  <si>
    <t>Settleable Solids</t>
  </si>
  <si>
    <t>Solids, Settleable</t>
  </si>
  <si>
    <t>mL/L</t>
  </si>
  <si>
    <t>00556</t>
  </si>
  <si>
    <t>Oil &amp; Grease</t>
  </si>
  <si>
    <t>00600</t>
  </si>
  <si>
    <t>Total Nitrogen</t>
  </si>
  <si>
    <t>Nitrogen, Total (as N)</t>
  </si>
  <si>
    <t>00610</t>
  </si>
  <si>
    <t>Ammonia</t>
  </si>
  <si>
    <t>Nitrogen, Ammonia Total (as N)</t>
  </si>
  <si>
    <t>00615</t>
  </si>
  <si>
    <t>Nitrite</t>
  </si>
  <si>
    <t>Nitrogen, Nitrite Total (as N)</t>
  </si>
  <si>
    <t>00620</t>
  </si>
  <si>
    <t>Nitrate</t>
  </si>
  <si>
    <t>Nitrogen, Nitrate Total (as N)</t>
  </si>
  <si>
    <t>00625</t>
  </si>
  <si>
    <t>Total Kjeldahl Nitrogen</t>
  </si>
  <si>
    <t>Nitrogen, Kjeldahl, Total (as N)</t>
  </si>
  <si>
    <t>00630</t>
  </si>
  <si>
    <t>Nitrite + Nitrate</t>
  </si>
  <si>
    <t>Nitrite plus Nitrate Total 1 DET. (as N)</t>
  </si>
  <si>
    <t>00660</t>
  </si>
  <si>
    <t>Ortho Phosphate</t>
  </si>
  <si>
    <t>Phosphate, Ortho (as PO4)</t>
  </si>
  <si>
    <t>00665</t>
  </si>
  <si>
    <t>Total Phosphorus</t>
  </si>
  <si>
    <t>Phosphorus, Total (as P)</t>
  </si>
  <si>
    <t>00670</t>
  </si>
  <si>
    <t>Organic Phosphorus</t>
  </si>
  <si>
    <t>Phosphorous, Total Organic (as P)</t>
  </si>
  <si>
    <t>00680</t>
  </si>
  <si>
    <t>Total Organic Carbon</t>
  </si>
  <si>
    <t>Carbon, Tot Organic (TOC)</t>
  </si>
  <si>
    <t>00681</t>
  </si>
  <si>
    <t>Dissolved Organic Carbon</t>
  </si>
  <si>
    <t>Carbon, Dissolved Organic (As C)</t>
  </si>
  <si>
    <t>00916</t>
  </si>
  <si>
    <t>Calcium</t>
  </si>
  <si>
    <t>Calcium, Total (as Ca)</t>
  </si>
  <si>
    <t>00927</t>
  </si>
  <si>
    <t>Magnesium</t>
  </si>
  <si>
    <t>Magnesium, Total (as Mg)</t>
  </si>
  <si>
    <t>00929</t>
  </si>
  <si>
    <t>Sodium</t>
  </si>
  <si>
    <t>Sodium, Total (as Na)</t>
  </si>
  <si>
    <t>00931</t>
  </si>
  <si>
    <t>Sodium Adsorption Ratio</t>
  </si>
  <si>
    <t>Ratio</t>
  </si>
  <si>
    <t>00937</t>
  </si>
  <si>
    <t>Potassium</t>
  </si>
  <si>
    <t>Potassium, Total (as K)</t>
  </si>
  <si>
    <t>00940</t>
  </si>
  <si>
    <t>Chloride</t>
  </si>
  <si>
    <t>Chloride (as Cl)</t>
  </si>
  <si>
    <t>00945</t>
  </si>
  <si>
    <t>Sulfate</t>
  </si>
  <si>
    <t>Sulfate, Total (as SO4)</t>
  </si>
  <si>
    <t>01002</t>
  </si>
  <si>
    <t>Arsenic</t>
  </si>
  <si>
    <t>Arsenic, Total (as As)</t>
  </si>
  <si>
    <t>01007</t>
  </si>
  <si>
    <t>Barium</t>
  </si>
  <si>
    <t>Barium, Total (as Ba)</t>
  </si>
  <si>
    <t>01022</t>
  </si>
  <si>
    <t>Boron</t>
  </si>
  <si>
    <t>Boron, Total (as B)</t>
  </si>
  <si>
    <t>01027</t>
  </si>
  <si>
    <t>Cadmium</t>
  </si>
  <si>
    <t>Cadmium, Total (as Cd)</t>
  </si>
  <si>
    <t>01034</t>
  </si>
  <si>
    <t>Chromium</t>
  </si>
  <si>
    <t>Chromium, Total (as Cr)</t>
  </si>
  <si>
    <t>01042</t>
  </si>
  <si>
    <t>Copper</t>
  </si>
  <si>
    <t>Copper, Total (as Cu)</t>
  </si>
  <si>
    <t>01045</t>
  </si>
  <si>
    <t>Iron</t>
  </si>
  <si>
    <t>Iron, Total (as Fe)</t>
  </si>
  <si>
    <t>01051</t>
  </si>
  <si>
    <t>Lead</t>
  </si>
  <si>
    <t>Lead, Total (as Pb)</t>
  </si>
  <si>
    <t>01055</t>
  </si>
  <si>
    <t>Manganese</t>
  </si>
  <si>
    <t>Manganese, Total (as Mn)</t>
  </si>
  <si>
    <t>01067</t>
  </si>
  <si>
    <t>Nickel</t>
  </si>
  <si>
    <t>Nickel, Total (as Ni)</t>
  </si>
  <si>
    <t>01077</t>
  </si>
  <si>
    <t>Silver</t>
  </si>
  <si>
    <t>Silver, Total (as Ag)</t>
  </si>
  <si>
    <t>01092</t>
  </si>
  <si>
    <t>Zinc</t>
  </si>
  <si>
    <t>Zinc, Total (as Zn)</t>
  </si>
  <si>
    <t>01147</t>
  </si>
  <si>
    <t>Selenium</t>
  </si>
  <si>
    <t>Selenium, Total (as Se)</t>
  </si>
  <si>
    <t>01284</t>
  </si>
  <si>
    <t>ND Application Rate</t>
  </si>
  <si>
    <t>Non-Discharge Application Rate</t>
  </si>
  <si>
    <t>in/yr</t>
  </si>
  <si>
    <t>31504</t>
  </si>
  <si>
    <t>Total Coliform</t>
  </si>
  <si>
    <t>Coliform, Total MF, Immed,LES Endo Agar</t>
  </si>
  <si>
    <t>#/100 mL</t>
  </si>
  <si>
    <t>Coliform, Tot, MPN, Completed, (100 mL)</t>
  </si>
  <si>
    <t>MPN/100 mL</t>
  </si>
  <si>
    <t>Fecal Coliform</t>
  </si>
  <si>
    <t>Coliform, Fecal MF, M-FC Agar,44.5C,24hr</t>
  </si>
  <si>
    <t>31616</t>
  </si>
  <si>
    <t>Coliform, Fecal MF, M-FC Broth,44.5C</t>
  </si>
  <si>
    <t>Chloroform</t>
  </si>
  <si>
    <t>Phenolics - Recoverable</t>
  </si>
  <si>
    <t>Phenolics, Total Recoverable</t>
  </si>
  <si>
    <t>32730</t>
  </si>
  <si>
    <t>Phenols</t>
  </si>
  <si>
    <t>Pyrene</t>
  </si>
  <si>
    <t>Phenol - Single</t>
  </si>
  <si>
    <t>Phenol, Single Compound</t>
  </si>
  <si>
    <t>Surfactants</t>
  </si>
  <si>
    <t>Surfactants (MBAS)</t>
  </si>
  <si>
    <t>Flow, in conduit or thru treatment plant</t>
  </si>
  <si>
    <t>50060</t>
  </si>
  <si>
    <t>Total Residual Chlorine</t>
  </si>
  <si>
    <t>Chlorine, Total Residual</t>
  </si>
  <si>
    <t>Total Dissolved Solids</t>
  </si>
  <si>
    <t>Solids, Total Dissolved</t>
  </si>
  <si>
    <t>Solids, Total Dissolved- 180 Deg.C</t>
  </si>
  <si>
    <t>% Solids</t>
  </si>
  <si>
    <t>Solids, Total, Percent</t>
  </si>
  <si>
    <t>%</t>
  </si>
  <si>
    <t>Formaldehyde</t>
  </si>
  <si>
    <t>71900</t>
  </si>
  <si>
    <t>Mercury</t>
  </si>
  <si>
    <t>Mercury, Total (as Hg)</t>
  </si>
  <si>
    <t>Volatile Compounds</t>
  </si>
  <si>
    <t>Volatile Compounds, (GC/MS)</t>
  </si>
  <si>
    <t>Yes/No</t>
  </si>
  <si>
    <t>Carbonaceous BOD</t>
  </si>
  <si>
    <t>BOD, Carbonaceous 05 Day, 20C</t>
  </si>
  <si>
    <t>Nitrogen Kjeldalh, Total (TKN)</t>
  </si>
  <si>
    <t>lbs/ac</t>
  </si>
  <si>
    <t>Ethylene Glycol</t>
  </si>
  <si>
    <t>Ethylene glycol</t>
  </si>
  <si>
    <t>Nitrogen Oxides</t>
  </si>
  <si>
    <t>Nitrogen Oxides (as N)</t>
  </si>
  <si>
    <t>Water Level</t>
  </si>
  <si>
    <t>Water level, distance from measuring point</t>
  </si>
  <si>
    <t>ft</t>
  </si>
  <si>
    <t>CO310</t>
  </si>
  <si>
    <r>
      <rPr>
        <sz val="8"/>
        <color theme="1"/>
        <rFont val="Trebuchet MS"/>
      </rPr>
      <t>BOD</t>
    </r>
    <r>
      <rPr>
        <vertAlign val="subscript"/>
        <sz val="8"/>
        <color theme="1"/>
        <rFont val="Trebuchet MS"/>
      </rPr>
      <t>5</t>
    </r>
    <r>
      <rPr>
        <sz val="8"/>
        <color theme="1"/>
        <rFont val="Trebuchet MS"/>
      </rPr>
      <t xml:space="preserve"> - Conc.</t>
    </r>
  </si>
  <si>
    <t>BOD, 5-Day (20 Deg. C) - Concentration</t>
  </si>
  <si>
    <t>CO530</t>
  </si>
  <si>
    <t>TSS - Conc.</t>
  </si>
  <si>
    <t>Solids, Total Suspended - Concentration</t>
  </si>
  <si>
    <t>CO600</t>
  </si>
  <si>
    <t>Total Nitrogen - Conc.</t>
  </si>
  <si>
    <t>Nitrogen, Total (as N) - Concentration</t>
  </si>
  <si>
    <t>CO610</t>
  </si>
  <si>
    <t>Ammonia - Conc.</t>
  </si>
  <si>
    <t>Nitrogen, Ammonia Total (as N) - Concentration</t>
  </si>
  <si>
    <t>CO665</t>
  </si>
  <si>
    <t>Total Phosphorus - Conc.</t>
  </si>
  <si>
    <t>Phosphorus, Total (as P) - Concentration</t>
  </si>
  <si>
    <t>WQ09C</t>
  </si>
  <si>
    <t>Plant Available Nitrogen</t>
  </si>
  <si>
    <t>Plant Available Nitrogen - Concentration</t>
  </si>
  <si>
    <t>January</t>
  </si>
  <si>
    <t xml:space="preserve">Alamance  </t>
  </si>
  <si>
    <t>001</t>
  </si>
  <si>
    <t>Calculated</t>
  </si>
  <si>
    <t>Estimate</t>
  </si>
  <si>
    <t>February</t>
  </si>
  <si>
    <t xml:space="preserve">Alexander  </t>
  </si>
  <si>
    <t>002</t>
  </si>
  <si>
    <t>Composite</t>
  </si>
  <si>
    <t>Recorder</t>
  </si>
  <si>
    <t>March</t>
  </si>
  <si>
    <t xml:space="preserve">Alleghany  </t>
  </si>
  <si>
    <t>003</t>
  </si>
  <si>
    <t>Grab</t>
  </si>
  <si>
    <t>April</t>
  </si>
  <si>
    <t xml:space="preserve">Anson  </t>
  </si>
  <si>
    <t>004</t>
  </si>
  <si>
    <t>May</t>
  </si>
  <si>
    <t xml:space="preserve">Ashe  </t>
  </si>
  <si>
    <t>005</t>
  </si>
  <si>
    <t>June</t>
  </si>
  <si>
    <t xml:space="preserve">Avery  </t>
  </si>
  <si>
    <t>006</t>
  </si>
  <si>
    <t>July</t>
  </si>
  <si>
    <t xml:space="preserve">Beaufort  </t>
  </si>
  <si>
    <t>007</t>
  </si>
  <si>
    <t>August</t>
  </si>
  <si>
    <t xml:space="preserve">Bertie  </t>
  </si>
  <si>
    <t>008</t>
  </si>
  <si>
    <t>September</t>
  </si>
  <si>
    <t xml:space="preserve">Bladen  </t>
  </si>
  <si>
    <t>009</t>
  </si>
  <si>
    <t>October</t>
  </si>
  <si>
    <t xml:space="preserve">Brunswick  </t>
  </si>
  <si>
    <t>010</t>
  </si>
  <si>
    <t>November</t>
  </si>
  <si>
    <t xml:space="preserve">Buncombe  </t>
  </si>
  <si>
    <t>011</t>
  </si>
  <si>
    <t>December</t>
  </si>
  <si>
    <t xml:space="preserve">Burke  </t>
  </si>
  <si>
    <t>012</t>
  </si>
  <si>
    <t xml:space="preserve">Cabarrus  </t>
  </si>
  <si>
    <t>013</t>
  </si>
  <si>
    <t xml:space="preserve">Caldwell  </t>
  </si>
  <si>
    <t>014</t>
  </si>
  <si>
    <t xml:space="preserve">Camden  </t>
  </si>
  <si>
    <t>015</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</si>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</sst>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hh:mm"/>
  </numFmts>
  <fonts count="14" x14ac:knownFonts="1">
    <font>
      <sz val="10"/>
      <color rgb="FF000000"/>
      <name val="Arial"/>
      <scheme val="minor"/>
    </font>
    <font>
      <b/>
      <sz val="10"/>
      <color theme="1"/>
      <name val="Arial"/>
    </font>
    <font>
      <sz val="10"/>
      <name val="Arial"/>
    </font>
    <font>
      <sz val="12"/>
      <color theme="1"/>
      <name val="Arial"/>
    </font>
    <font>
      <sz val="10"/>
      <color theme="1"/>
      <name val="Arial"/>
    </font>
    <font>
      <sz val="9"/>
      <color theme="1"/>
      <name val="Arial"/>
    </font>
    <font>
      <b/>
      <sz val="14"/>
      <color theme="1"/>
      <name val="Arial"/>
    </font>
    <font>
      <sz val="8"/>
      <color theme="1"/>
      <name val="Arial"/>
    </font>
    <font>
      <b/>
      <sz val="11"/>
      <color theme="1"/>
      <name val="Arial"/>
    </font>
    <font>
      <b/>
      <sz val="8"/>
      <color theme="1"/>
      <name val="Trebuchet MS"/>
    </font>
    <font>
      <sz val="8"/>
      <color theme="1"/>
      <name val="Trebuchet MS"/>
    </font>
    <font>
      <sz val="8"/>
      <color rgb="FF000000"/>
      <name val="Trebuchet MS"/>
    </font>
    <font>
      <sz val="8"/>
      <color theme="1"/>
      <name val="Times New Roman"/>
    </font>
    <font>
      <vertAlign val="subscript"/>
      <sz val="8"/>
      <color theme="1"/>
      <name val="Trebuchet MS"/>
    </font>
  </fonts>
  <fills count="7">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00"/>
        <bgColor rgb="FFFFFF00"/>
      </patternFill>
    </fill>
    <fill>
      <patternFill patternType="solid">
        <fgColor rgb="FFFABF8F"/>
        <bgColor rgb="FFFABF8F"/>
      </patternFill>
    </fill>
    <fill>
      <patternFill patternType="solid">
        <fgColor rgb="FF92CDDC"/>
        <bgColor rgb="FF92CDDC"/>
      </patternFill>
    </fill>
  </fills>
  <borders count="9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style="double">
        <color rgb="FF000000"/>
      </top>
      <bottom style="thin">
        <color rgb="FF000000"/>
      </bottom>
      <diagonal/>
    </border>
    <border>
      <left/>
      <right/>
      <top style="double">
        <color rgb="FF000000"/>
      </top>
      <bottom style="thin">
        <color rgb="FF000000"/>
      </bottom>
      <diagonal/>
    </border>
    <border>
      <left/>
      <right style="medium">
        <color rgb="FF000000"/>
      </right>
      <top style="double">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double">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thin">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double">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top/>
      <bottom/>
      <diagonal/>
    </border>
    <border>
      <left/>
      <right style="double">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double">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double">
        <color rgb="FF000000"/>
      </left>
      <right/>
      <top style="medium">
        <color rgb="FF000000"/>
      </top>
      <bottom style="medium">
        <color rgb="FF000000"/>
      </bottom>
      <diagonal/>
    </border>
    <border>
      <left style="double">
        <color rgb="FF000000"/>
      </left>
      <right/>
      <top style="medium">
        <color rgb="FF000000"/>
      </top>
      <bottom/>
      <diagonal/>
    </border>
    <border>
      <left style="double">
        <color rgb="FF000000"/>
      </left>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double">
        <color rgb="FF000000"/>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style="double">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right/>
      <top style="thin">
        <color rgb="FF000000"/>
      </top>
      <bottom/>
      <diagonal/>
    </border>
    <border>
      <left/>
      <right style="double">
        <color rgb="FF000000"/>
      </right>
      <top style="thin">
        <color rgb="FF000000"/>
      </top>
      <bottom/>
      <diagonal/>
    </border>
    <border>
      <left style="double">
        <color rgb="FF000000"/>
      </left>
      <right/>
      <top/>
      <bottom style="medium">
        <color rgb="FF000000"/>
      </bottom>
      <diagonal/>
    </border>
  </borders>
  <cellStyleXfs count="1">
    <xf numFmtId="0" fontId="0" fillId="0" borderId="0"/>
  </cellStyleXfs>
  <cellXfs count="153">
    <xf numFmtId="0" fontId="0" fillId="0" borderId="0" xfId="0" applyFont="1" applyAlignment="1"/>
    <xf numFmtId="0" fontId="1" fillId="2" borderId="6" xfId="0" applyFont="1" applyFill="1" applyBorder="1" applyAlignment="1">
      <alignment horizontal="right" vertical="center"/>
    </xf>
    <xf numFmtId="0" fontId="1"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0" xfId="0" applyFont="1" applyAlignment="1">
      <alignment horizontal="left"/>
    </xf>
    <xf numFmtId="0" fontId="4" fillId="0" borderId="0" xfId="0" applyFont="1"/>
    <xf numFmtId="0" fontId="3" fillId="2" borderId="10" xfId="0" applyFont="1" applyFill="1" applyBorder="1" applyAlignment="1">
      <alignment horizontal="left" vertical="center"/>
    </xf>
    <xf numFmtId="164" fontId="1" fillId="3" borderId="16"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4" fontId="1" fillId="2" borderId="17" xfId="0" applyNumberFormat="1" applyFont="1" applyFill="1" applyBorder="1" applyAlignment="1">
      <alignment horizontal="center" vertical="center"/>
    </xf>
    <xf numFmtId="0" fontId="1" fillId="2" borderId="19" xfId="0" applyFont="1" applyFill="1" applyBorder="1" applyAlignment="1">
      <alignment horizontal="center" vertical="center" textRotation="90" wrapText="1"/>
    </xf>
    <xf numFmtId="0" fontId="1" fillId="2" borderId="20" xfId="0" applyFont="1" applyFill="1" applyBorder="1" applyAlignment="1">
      <alignment horizontal="center" vertical="center" textRotation="90" wrapText="1"/>
    </xf>
    <xf numFmtId="0" fontId="1" fillId="3" borderId="21" xfId="0" applyFont="1" applyFill="1" applyBorder="1" applyAlignment="1">
      <alignment horizontal="center" vertical="center" textRotation="90" wrapText="1"/>
    </xf>
    <xf numFmtId="164" fontId="1" fillId="2" borderId="16" xfId="0" applyNumberFormat="1" applyFont="1" applyFill="1" applyBorder="1" applyAlignment="1">
      <alignment horizontal="center" vertical="center" textRotation="90" wrapText="1"/>
    </xf>
    <xf numFmtId="164" fontId="1" fillId="3" borderId="16" xfId="0" applyNumberFormat="1" applyFont="1" applyFill="1" applyBorder="1" applyAlignment="1">
      <alignment horizontal="center" vertical="center" textRotation="90" wrapText="1"/>
    </xf>
    <xf numFmtId="164" fontId="1" fillId="2" borderId="22" xfId="0" applyNumberFormat="1" applyFont="1" applyFill="1" applyBorder="1" applyAlignment="1">
      <alignment horizontal="center" vertical="center" textRotation="90" wrapText="1"/>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164" fontId="1" fillId="3" borderId="26" xfId="0" applyNumberFormat="1" applyFont="1" applyFill="1" applyBorder="1" applyAlignment="1">
      <alignment horizontal="center" vertical="center"/>
    </xf>
    <xf numFmtId="164" fontId="1" fillId="2" borderId="27" xfId="0" applyNumberFormat="1" applyFont="1" applyFill="1" applyBorder="1" applyAlignment="1">
      <alignment horizontal="center" vertical="center"/>
    </xf>
    <xf numFmtId="0" fontId="1" fillId="2" borderId="28" xfId="0" applyFont="1" applyFill="1" applyBorder="1" applyAlignment="1">
      <alignment horizontal="center" vertical="center"/>
    </xf>
    <xf numFmtId="165" fontId="4" fillId="2" borderId="29" xfId="0" applyNumberFormat="1" applyFont="1" applyFill="1" applyBorder="1" applyAlignment="1">
      <alignment horizontal="center" vertical="center"/>
    </xf>
    <xf numFmtId="0" fontId="4" fillId="2" borderId="30" xfId="0" applyFont="1" applyFill="1" applyBorder="1" applyAlignment="1">
      <alignment horizontal="center" vertical="center"/>
    </xf>
    <xf numFmtId="3" fontId="4" fillId="3" borderId="31" xfId="0" applyNumberFormat="1" applyFont="1" applyFill="1" applyBorder="1" applyAlignment="1">
      <alignment horizontal="center" vertical="center"/>
    </xf>
    <xf numFmtId="0" fontId="4" fillId="2" borderId="32" xfId="0" applyFont="1" applyFill="1" applyBorder="1" applyAlignment="1">
      <alignment horizontal="center" vertical="center"/>
    </xf>
    <xf numFmtId="0" fontId="4" fillId="3" borderId="32" xfId="0" applyFont="1" applyFill="1" applyBorder="1" applyAlignment="1">
      <alignment horizontal="center" vertical="center"/>
    </xf>
    <xf numFmtId="0" fontId="4" fillId="2" borderId="33" xfId="0" applyFont="1" applyFill="1" applyBorder="1" applyAlignment="1">
      <alignment horizontal="center" vertical="center"/>
    </xf>
    <xf numFmtId="3" fontId="4" fillId="3" borderId="21" xfId="0" applyNumberFormat="1" applyFont="1" applyFill="1" applyBorder="1" applyAlignment="1">
      <alignment horizontal="center" vertical="center"/>
    </xf>
    <xf numFmtId="0" fontId="4" fillId="3" borderId="30" xfId="0" applyFont="1" applyFill="1" applyBorder="1" applyAlignment="1">
      <alignment horizontal="center" vertical="center"/>
    </xf>
    <xf numFmtId="0" fontId="4" fillId="2" borderId="22" xfId="0" applyFont="1" applyFill="1" applyBorder="1" applyAlignment="1">
      <alignment horizontal="center" vertical="center"/>
    </xf>
    <xf numFmtId="3" fontId="4" fillId="3" borderId="26" xfId="0" applyNumberFormat="1" applyFont="1" applyFill="1" applyBorder="1" applyAlignment="1">
      <alignment horizontal="center" vertical="center"/>
    </xf>
    <xf numFmtId="0" fontId="4" fillId="2" borderId="34" xfId="0" applyFont="1" applyFill="1" applyBorder="1" applyAlignment="1">
      <alignment horizontal="center" vertical="center"/>
    </xf>
    <xf numFmtId="0" fontId="4" fillId="3" borderId="34" xfId="0" applyFont="1" applyFill="1" applyBorder="1" applyAlignment="1">
      <alignment horizontal="center" vertical="center"/>
    </xf>
    <xf numFmtId="0" fontId="4" fillId="2" borderId="27" xfId="0" applyFont="1" applyFill="1" applyBorder="1" applyAlignment="1">
      <alignment horizontal="center" vertical="center"/>
    </xf>
    <xf numFmtId="3" fontId="4" fillId="3" borderId="38" xfId="0" applyNumberFormat="1" applyFont="1" applyFill="1" applyBorder="1" applyAlignment="1">
      <alignment horizontal="center" vertical="center"/>
    </xf>
    <xf numFmtId="4" fontId="4" fillId="0" borderId="39" xfId="0" applyNumberFormat="1" applyFont="1" applyBorder="1" applyAlignment="1">
      <alignment horizontal="center" vertical="center"/>
    </xf>
    <xf numFmtId="4" fontId="4" fillId="3" borderId="40" xfId="0" applyNumberFormat="1" applyFont="1" applyFill="1" applyBorder="1" applyAlignment="1">
      <alignment horizontal="center" vertical="center"/>
    </xf>
    <xf numFmtId="4" fontId="4" fillId="0" borderId="33" xfId="0" applyNumberFormat="1" applyFont="1" applyBorder="1" applyAlignment="1">
      <alignment horizontal="center" vertical="center"/>
    </xf>
    <xf numFmtId="3" fontId="4" fillId="3" borderId="44" xfId="0" applyNumberFormat="1" applyFont="1" applyFill="1" applyBorder="1" applyAlignment="1">
      <alignment horizontal="center" vertical="center"/>
    </xf>
    <xf numFmtId="4" fontId="4" fillId="2" borderId="45" xfId="0" applyNumberFormat="1" applyFont="1" applyFill="1" applyBorder="1" applyAlignment="1">
      <alignment horizontal="center" vertical="center"/>
    </xf>
    <xf numFmtId="4" fontId="4" fillId="3" borderId="45" xfId="0" applyNumberFormat="1" applyFont="1" applyFill="1" applyBorder="1" applyAlignment="1">
      <alignment horizontal="center" vertical="center"/>
    </xf>
    <xf numFmtId="4" fontId="4" fillId="2" borderId="22" xfId="0" applyNumberFormat="1" applyFont="1" applyFill="1" applyBorder="1" applyAlignment="1">
      <alignment horizontal="center" vertical="center"/>
    </xf>
    <xf numFmtId="3" fontId="4" fillId="3" borderId="49" xfId="0" applyNumberFormat="1" applyFont="1" applyFill="1" applyBorder="1" applyAlignment="1">
      <alignment horizontal="center" vertical="center"/>
    </xf>
    <xf numFmtId="4" fontId="4" fillId="2" borderId="50" xfId="0" applyNumberFormat="1" applyFont="1" applyFill="1" applyBorder="1" applyAlignment="1">
      <alignment horizontal="center" vertical="center"/>
    </xf>
    <xf numFmtId="4" fontId="4" fillId="3" borderId="50" xfId="0" applyNumberFormat="1" applyFont="1" applyFill="1" applyBorder="1" applyAlignment="1">
      <alignment horizontal="center" vertical="center"/>
    </xf>
    <xf numFmtId="4" fontId="4" fillId="2" borderId="27" xfId="0" applyNumberFormat="1" applyFont="1" applyFill="1" applyBorder="1" applyAlignment="1">
      <alignment horizontal="center" vertical="center"/>
    </xf>
    <xf numFmtId="3" fontId="5" fillId="3" borderId="51" xfId="0" applyNumberFormat="1" applyFont="1" applyFill="1" applyBorder="1" applyAlignment="1">
      <alignment horizontal="center" vertical="center"/>
    </xf>
    <xf numFmtId="3" fontId="5" fillId="2" borderId="32" xfId="0" applyNumberFormat="1" applyFont="1" applyFill="1" applyBorder="1" applyAlignment="1">
      <alignment horizontal="center" vertical="center"/>
    </xf>
    <xf numFmtId="3" fontId="5" fillId="3" borderId="32" xfId="0" applyNumberFormat="1" applyFont="1" applyFill="1" applyBorder="1" applyAlignment="1">
      <alignment horizontal="center" vertical="center"/>
    </xf>
    <xf numFmtId="3" fontId="5" fillId="2" borderId="33" xfId="0" applyNumberFormat="1" applyFont="1" applyFill="1" applyBorder="1" applyAlignment="1">
      <alignment horizontal="center" vertical="center"/>
    </xf>
    <xf numFmtId="3" fontId="4" fillId="3" borderId="29" xfId="0" applyNumberFormat="1" applyFont="1" applyFill="1" applyBorder="1" applyAlignment="1">
      <alignment horizontal="center" vertical="center"/>
    </xf>
    <xf numFmtId="3" fontId="5" fillId="3" borderId="29" xfId="0" applyNumberFormat="1" applyFont="1" applyFill="1" applyBorder="1" applyAlignment="1">
      <alignment horizontal="center" vertical="center"/>
    </xf>
    <xf numFmtId="0" fontId="5" fillId="2" borderId="30" xfId="0" applyFont="1" applyFill="1" applyBorder="1" applyAlignment="1">
      <alignment horizontal="center" vertical="center"/>
    </xf>
    <xf numFmtId="0" fontId="5" fillId="3" borderId="30" xfId="0" applyFont="1" applyFill="1" applyBorder="1" applyAlignment="1">
      <alignment horizontal="center" vertical="center"/>
    </xf>
    <xf numFmtId="0" fontId="5" fillId="2" borderId="22" xfId="0" applyFont="1" applyFill="1" applyBorder="1" applyAlignment="1">
      <alignment horizontal="center" vertical="center"/>
    </xf>
    <xf numFmtId="0" fontId="4" fillId="4" borderId="52" xfId="0" applyFont="1" applyFill="1" applyBorder="1" applyAlignment="1">
      <alignment horizontal="center" vertical="center"/>
    </xf>
    <xf numFmtId="0" fontId="4" fillId="5" borderId="52" xfId="0" applyFont="1" applyFill="1" applyBorder="1" applyAlignment="1">
      <alignment horizontal="center" vertical="center"/>
    </xf>
    <xf numFmtId="0" fontId="4" fillId="6" borderId="52" xfId="0" applyFont="1" applyFill="1" applyBorder="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1" fillId="2" borderId="52" xfId="0" applyFont="1" applyFill="1" applyBorder="1" applyAlignment="1">
      <alignment horizontal="center" vertical="center"/>
    </xf>
    <xf numFmtId="0" fontId="1" fillId="2" borderId="69" xfId="0" applyFont="1" applyFill="1" applyBorder="1" applyAlignment="1">
      <alignment horizontal="center" vertical="center"/>
    </xf>
    <xf numFmtId="0" fontId="9" fillId="0" borderId="30" xfId="0" applyFont="1" applyBorder="1" applyAlignment="1">
      <alignment horizontal="center" vertical="center"/>
    </xf>
    <xf numFmtId="49" fontId="9" fillId="0" borderId="30" xfId="0" applyNumberFormat="1" applyFont="1" applyBorder="1" applyAlignment="1">
      <alignment horizontal="center" vertical="center"/>
    </xf>
    <xf numFmtId="0" fontId="10" fillId="0" borderId="0" xfId="0" applyFont="1" applyAlignment="1">
      <alignment horizontal="center" vertical="center"/>
    </xf>
    <xf numFmtId="0" fontId="10" fillId="0" borderId="30" xfId="0" quotePrefix="1" applyFont="1" applyBorder="1" applyAlignment="1">
      <alignment horizontal="center" vertical="center"/>
    </xf>
    <xf numFmtId="49" fontId="10" fillId="0" borderId="30" xfId="0" applyNumberFormat="1" applyFont="1" applyBorder="1" applyAlignment="1">
      <alignment horizontal="center" vertical="center"/>
    </xf>
    <xf numFmtId="0" fontId="11" fillId="0" borderId="30" xfId="0" applyFont="1" applyBorder="1" applyAlignment="1">
      <alignment horizontal="center" vertical="center"/>
    </xf>
    <xf numFmtId="0" fontId="10" fillId="0" borderId="30" xfId="0" applyFont="1" applyBorder="1" applyAlignment="1">
      <alignment horizontal="center" vertical="center"/>
    </xf>
    <xf numFmtId="49" fontId="10" fillId="0" borderId="30" xfId="0" applyNumberFormat="1" applyFont="1" applyBorder="1" applyAlignment="1">
      <alignment horizontal="center" vertical="center" wrapText="1"/>
    </xf>
    <xf numFmtId="0" fontId="12" fillId="0" borderId="0" xfId="0" applyFont="1" applyAlignment="1">
      <alignment horizontal="center"/>
    </xf>
    <xf numFmtId="0" fontId="12" fillId="0" borderId="0" xfId="0" quotePrefix="1" applyFont="1" applyAlignment="1">
      <alignment horizontal="center"/>
    </xf>
    <xf numFmtId="0" fontId="1" fillId="2" borderId="8" xfId="0" applyFont="1" applyFill="1" applyBorder="1" applyAlignment="1">
      <alignment horizontal="left" vertical="center"/>
    </xf>
    <xf numFmtId="0" fontId="2" fillId="0" borderId="11" xfId="0" applyFont="1" applyBorder="1"/>
    <xf numFmtId="0" fontId="2" fillId="0" borderId="12" xfId="0" applyFont="1" applyBorder="1"/>
    <xf numFmtId="0" fontId="1" fillId="2" borderId="1" xfId="0" applyFont="1" applyFill="1" applyBorder="1" applyAlignment="1">
      <alignment horizontal="right" vertical="center"/>
    </xf>
    <xf numFmtId="0" fontId="2" fillId="0" borderId="2" xfId="0" applyFont="1" applyBorder="1"/>
    <xf numFmtId="0" fontId="3" fillId="2" borderId="3" xfId="0" applyFont="1" applyFill="1" applyBorder="1" applyAlignment="1">
      <alignment horizontal="left" vertical="center"/>
    </xf>
    <xf numFmtId="0" fontId="2" fillId="0" borderId="4" xfId="0" applyFont="1" applyBorder="1"/>
    <xf numFmtId="0" fontId="1" fillId="2" borderId="1" xfId="0" applyFont="1" applyFill="1" applyBorder="1" applyAlignment="1">
      <alignment horizontal="center" vertical="center"/>
    </xf>
    <xf numFmtId="0" fontId="2" fillId="0" borderId="5" xfId="0" applyFont="1" applyBorder="1"/>
    <xf numFmtId="0" fontId="3" fillId="2" borderId="3" xfId="0" applyFont="1" applyFill="1" applyBorder="1" applyAlignment="1">
      <alignment horizontal="center" vertical="center"/>
    </xf>
    <xf numFmtId="0" fontId="3" fillId="0" borderId="5" xfId="0" applyFont="1" applyBorder="1" applyAlignment="1">
      <alignment horizontal="center" vertical="center"/>
    </xf>
    <xf numFmtId="0" fontId="1" fillId="2" borderId="8" xfId="0" applyFont="1" applyFill="1" applyBorder="1" applyAlignment="1">
      <alignment horizontal="center" vertical="center"/>
    </xf>
    <xf numFmtId="0" fontId="2" fillId="0" borderId="9" xfId="0" applyFont="1" applyBorder="1"/>
    <xf numFmtId="0" fontId="1" fillId="2" borderId="41" xfId="0" applyFont="1" applyFill="1" applyBorder="1" applyAlignment="1">
      <alignment horizontal="right" vertical="center"/>
    </xf>
    <xf numFmtId="0" fontId="2" fillId="0" borderId="42" xfId="0" applyFont="1" applyBorder="1"/>
    <xf numFmtId="0" fontId="2" fillId="0" borderId="43" xfId="0" applyFont="1" applyBorder="1"/>
    <xf numFmtId="0" fontId="1" fillId="2" borderId="13" xfId="0" applyFont="1" applyFill="1" applyBorder="1" applyAlignment="1">
      <alignment horizontal="left" vertical="center"/>
    </xf>
    <xf numFmtId="0" fontId="2" fillId="0" borderId="14" xfId="0" applyFont="1" applyBorder="1"/>
    <xf numFmtId="0" fontId="2" fillId="0" borderId="15" xfId="0" applyFont="1" applyBorder="1"/>
    <xf numFmtId="0" fontId="1" fillId="2" borderId="18" xfId="0" applyFont="1" applyFill="1" applyBorder="1" applyAlignment="1">
      <alignment horizontal="center" vertical="center" textRotation="90"/>
    </xf>
    <xf numFmtId="0" fontId="2" fillId="0" borderId="23" xfId="0" applyFont="1" applyBorder="1"/>
    <xf numFmtId="0" fontId="1" fillId="2" borderId="35" xfId="0" applyFont="1" applyFill="1" applyBorder="1" applyAlignment="1">
      <alignment horizontal="right" vertical="center"/>
    </xf>
    <xf numFmtId="0" fontId="2" fillId="0" borderId="36" xfId="0" applyFont="1" applyBorder="1"/>
    <xf numFmtId="0" fontId="2" fillId="0" borderId="37" xfId="0" applyFont="1" applyBorder="1"/>
    <xf numFmtId="0" fontId="1" fillId="2" borderId="46" xfId="0" applyFont="1" applyFill="1" applyBorder="1" applyAlignment="1">
      <alignment horizontal="right" vertical="center"/>
    </xf>
    <xf numFmtId="0" fontId="2" fillId="0" borderId="47" xfId="0" applyFont="1" applyBorder="1"/>
    <xf numFmtId="0" fontId="2" fillId="0" borderId="48" xfId="0" applyFont="1" applyBorder="1"/>
    <xf numFmtId="0" fontId="1" fillId="2" borderId="58" xfId="0" applyFont="1" applyFill="1" applyBorder="1" applyAlignment="1">
      <alignment horizontal="left" vertical="center"/>
    </xf>
    <xf numFmtId="0" fontId="2" fillId="0" borderId="61" xfId="0" applyFont="1" applyBorder="1"/>
    <xf numFmtId="0" fontId="2" fillId="0" borderId="62" xfId="0" applyFont="1" applyBorder="1"/>
    <xf numFmtId="0" fontId="1" fillId="2" borderId="74" xfId="0" applyFont="1" applyFill="1" applyBorder="1" applyAlignment="1">
      <alignment horizontal="left" vertical="center"/>
    </xf>
    <xf numFmtId="0" fontId="2" fillId="0" borderId="59" xfId="0" applyFont="1" applyBorder="1"/>
    <xf numFmtId="0" fontId="3" fillId="2" borderId="60" xfId="0" applyFont="1" applyFill="1" applyBorder="1" applyAlignment="1">
      <alignment horizontal="left" vertical="center"/>
    </xf>
    <xf numFmtId="0" fontId="1" fillId="2" borderId="60" xfId="0" applyFont="1" applyFill="1" applyBorder="1" applyAlignment="1">
      <alignment horizontal="left" vertical="center"/>
    </xf>
    <xf numFmtId="0" fontId="4" fillId="2" borderId="75" xfId="0" applyFont="1" applyFill="1" applyBorder="1"/>
    <xf numFmtId="0" fontId="2" fillId="0" borderId="76" xfId="0" applyFont="1" applyBorder="1"/>
    <xf numFmtId="0" fontId="2" fillId="0" borderId="77" xfId="0" applyFont="1" applyBorder="1"/>
    <xf numFmtId="0" fontId="2" fillId="0" borderId="82" xfId="0" applyFont="1" applyBorder="1"/>
    <xf numFmtId="0" fontId="2" fillId="0" borderId="83" xfId="0" applyFont="1" applyBorder="1"/>
    <xf numFmtId="0" fontId="2" fillId="0" borderId="84" xfId="0" applyFont="1" applyBorder="1"/>
    <xf numFmtId="0" fontId="4" fillId="2" borderId="78" xfId="0" applyFont="1" applyFill="1" applyBorder="1"/>
    <xf numFmtId="0" fontId="2" fillId="0" borderId="85" xfId="0" applyFont="1" applyBorder="1"/>
    <xf numFmtId="0" fontId="2" fillId="0" borderId="92" xfId="0" applyFont="1" applyBorder="1"/>
    <xf numFmtId="0" fontId="4" fillId="2" borderId="60" xfId="0" applyFont="1" applyFill="1" applyBorder="1" applyAlignment="1">
      <alignment horizontal="center" vertical="center"/>
    </xf>
    <xf numFmtId="0" fontId="4" fillId="2" borderId="89" xfId="0" applyFont="1" applyFill="1" applyBorder="1" applyAlignment="1">
      <alignment horizontal="center" vertical="center"/>
    </xf>
    <xf numFmtId="0" fontId="2" fillId="0" borderId="90" xfId="0" applyFont="1" applyBorder="1"/>
    <xf numFmtId="0" fontId="2" fillId="0" borderId="91" xfId="0" applyFont="1" applyBorder="1"/>
    <xf numFmtId="0" fontId="4" fillId="2" borderId="93" xfId="0" applyFont="1" applyFill="1" applyBorder="1" applyAlignment="1">
      <alignment horizontal="center" vertical="center"/>
    </xf>
    <xf numFmtId="0" fontId="2" fillId="0" borderId="94" xfId="0" applyFont="1" applyBorder="1"/>
    <xf numFmtId="0" fontId="7" fillId="2" borderId="64" xfId="0" applyFont="1" applyFill="1" applyBorder="1" applyAlignment="1">
      <alignment horizontal="center" vertical="top" wrapText="1"/>
    </xf>
    <xf numFmtId="0" fontId="2" fillId="0" borderId="67" xfId="0" applyFont="1" applyBorder="1"/>
    <xf numFmtId="0" fontId="2" fillId="0" borderId="68" xfId="0" applyFont="1" applyBorder="1"/>
    <xf numFmtId="0" fontId="7" fillId="2" borderId="95" xfId="0" applyFont="1" applyFill="1" applyBorder="1" applyAlignment="1">
      <alignment horizontal="center" vertical="top" wrapText="1"/>
    </xf>
    <xf numFmtId="0" fontId="2" fillId="0" borderId="70" xfId="0" applyFont="1" applyBorder="1"/>
    <xf numFmtId="0" fontId="8" fillId="2" borderId="60" xfId="0" applyFont="1" applyFill="1" applyBorder="1" applyAlignment="1">
      <alignment horizontal="center" vertical="center" wrapText="1"/>
    </xf>
    <xf numFmtId="0" fontId="1" fillId="2" borderId="53" xfId="0" applyFont="1" applyFill="1" applyBorder="1" applyAlignment="1">
      <alignment horizontal="center" vertical="center"/>
    </xf>
    <xf numFmtId="0" fontId="2" fillId="0" borderId="54" xfId="0" applyFont="1" applyBorder="1"/>
    <xf numFmtId="0" fontId="2" fillId="0" borderId="55" xfId="0" applyFont="1" applyBorder="1"/>
    <xf numFmtId="0" fontId="1" fillId="2" borderId="56" xfId="0" applyFont="1" applyFill="1" applyBorder="1" applyAlignment="1">
      <alignment horizontal="center" vertical="center"/>
    </xf>
    <xf numFmtId="0" fontId="2" fillId="0" borderId="57" xfId="0" applyFont="1" applyBorder="1"/>
    <xf numFmtId="0" fontId="1" fillId="2" borderId="58" xfId="0" applyFont="1" applyFill="1" applyBorder="1" applyAlignment="1">
      <alignment horizontal="center" vertical="center"/>
    </xf>
    <xf numFmtId="0" fontId="2" fillId="0" borderId="63" xfId="0" applyFont="1" applyBorder="1"/>
    <xf numFmtId="0" fontId="1" fillId="2" borderId="64" xfId="0" applyFont="1" applyFill="1" applyBorder="1" applyAlignment="1">
      <alignment horizontal="center" vertical="center"/>
    </xf>
    <xf numFmtId="0" fontId="2" fillId="0" borderId="65" xfId="0" applyFont="1" applyBorder="1"/>
    <xf numFmtId="0" fontId="3" fillId="2" borderId="66" xfId="0" applyFont="1" applyFill="1" applyBorder="1" applyAlignment="1">
      <alignment horizontal="left" vertical="center"/>
    </xf>
    <xf numFmtId="0" fontId="6" fillId="2" borderId="56" xfId="0" applyFont="1" applyFill="1" applyBorder="1" applyAlignment="1">
      <alignment horizontal="left" vertical="center"/>
    </xf>
    <xf numFmtId="0" fontId="2" fillId="0" borderId="71" xfId="0" applyFont="1" applyBorder="1"/>
    <xf numFmtId="0" fontId="4" fillId="2" borderId="60" xfId="0" applyFont="1" applyFill="1" applyBorder="1" applyAlignment="1">
      <alignment horizontal="center" vertical="center" wrapText="1"/>
    </xf>
    <xf numFmtId="0" fontId="4" fillId="2" borderId="1" xfId="0" applyFont="1" applyFill="1" applyBorder="1" applyAlignment="1">
      <alignment vertical="top" wrapText="1"/>
    </xf>
    <xf numFmtId="0" fontId="4" fillId="2" borderId="3" xfId="0" applyFont="1" applyFill="1" applyBorder="1"/>
    <xf numFmtId="0" fontId="1" fillId="2" borderId="72" xfId="0" applyFont="1" applyFill="1" applyBorder="1" applyAlignment="1">
      <alignment horizontal="center" vertical="center"/>
    </xf>
    <xf numFmtId="0" fontId="1" fillId="2" borderId="53" xfId="0" applyFont="1" applyFill="1" applyBorder="1" applyAlignment="1">
      <alignment horizontal="left" vertical="center"/>
    </xf>
    <xf numFmtId="0" fontId="3" fillId="2" borderId="56" xfId="0" applyFont="1" applyFill="1" applyBorder="1" applyAlignment="1">
      <alignment horizontal="left" vertical="center"/>
    </xf>
    <xf numFmtId="0" fontId="1" fillId="2" borderId="73" xfId="0" applyFont="1" applyFill="1" applyBorder="1" applyAlignment="1">
      <alignment horizontal="left" vertical="center"/>
    </xf>
    <xf numFmtId="0" fontId="4" fillId="2" borderId="79" xfId="0" applyFont="1" applyFill="1" applyBorder="1"/>
    <xf numFmtId="0" fontId="2" fillId="0" borderId="80" xfId="0" applyFont="1" applyBorder="1"/>
    <xf numFmtId="0" fontId="2" fillId="0" borderId="86" xfId="0" applyFont="1" applyBorder="1"/>
    <xf numFmtId="0" fontId="2" fillId="0" borderId="87" xfId="0" applyFont="1" applyBorder="1"/>
    <xf numFmtId="14" fontId="3" fillId="2" borderId="60" xfId="0" applyNumberFormat="1" applyFont="1" applyFill="1" applyBorder="1" applyAlignment="1">
      <alignment horizontal="left" vertical="center"/>
    </xf>
    <xf numFmtId="0" fontId="2" fillId="0" borderId="81" xfId="0" applyFont="1" applyBorder="1"/>
    <xf numFmtId="0" fontId="2" fillId="0" borderId="8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dr:oneCellAnchor>
    <xdr:from>
      <xdr:col>2</xdr:col>
      <xdr:colOff>333375</xdr:colOff>
      <xdr:row>2</xdr:row>
      <xdr:rowOff>114300</xdr:rowOff>
    </xdr:from>
    <xdr:ext cx="228600" cy="38100"/>
    <xdr:grpSp>
      <xdr:nvGrpSpPr>
        <xdr:cNvPr id="2" name="Shape 2"/>
        <xdr:cNvGrpSpPr/>
      </xdr:nvGrpSpPr>
      <xdr:grpSpPr>
        <a:xfrm>
          <a:off x="1125855" y="678180"/>
          <a:ext cx="228600" cy="38100"/>
          <a:chOff x="5231700" y="3780000"/>
          <a:chExt cx="228600" cy="0"/>
        </a:xfrm>
      </xdr:grpSpPr>
      <xdr:cxnSp macro="">
        <xdr:nvCxnSpPr>
          <xdr:cNvPr id="3" name="Shape 3"/>
          <xdr:cNvCxnSpPr/>
        </xdr:nvCxnSpPr>
        <xdr:spPr>
          <a:xfrm>
            <a:off x="5231700" y="3780000"/>
            <a:ext cx="228600" cy="0"/>
          </a:xfrm>
          <a:prstGeom prst="straightConnector1">
            <a:avLst/>
          </a:prstGeom>
          <a:noFill/>
          <a:ln w="9525" cap="flat" cmpd="sng">
            <a:solidFill>
              <a:srgbClr val="000000"/>
            </a:solidFill>
            <a:prstDash val="solid"/>
            <a:round/>
            <a:headEnd type="none" w="med" len="med"/>
            <a:tailEnd type="triangle" w="med" len="med"/>
          </a:ln>
        </xdr:spPr>
      </xdr:cxnSp>
    </xdr:grpSp>
    <xdr:clientData fLocksWithSheet="0"/>
  </xdr:oneCellAnchor>
</xdr:wsDr>
</file>

<file path=xl/persons/person.xml><?xml version="1.0" encoding="utf-8"?>
<x18tc:personList xmlns:x18tc="http://schemas.microsoft.com/office/spreadsheetml/2018/threadedcomments">
  <x18tc:person displayName="Nathaniel Thornburg" id="{fdb7569f-c795-4502-9a38-4488a32fac51}"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2026-01-29T17:56:35.00" personId="{fdb7569f-c795-4502-9a38-4488a32fac51}" id="{d8490feb-9b8f-4ea1-9539-1f5a32bd3784}" done="0">
    <x18tc:text xml:space="preserve">Input the PCS Code located in Attachment A of your permit.</x18tc:text>
  </x18tc:threadedComment>
  <x18tc:threadedComment ref="M5" dT="2026-01-29T17:56:35.00" personId="{fdb7569f-c795-4502-9a38-4488a32fac51}" id="{fdf1cc13-afba-4077-bd66-182c865b6131}" done="0">
    <x18tc:text xml:space="preserve">If the DWQ accepted units do not match your Attachment A, email nathaniel.thornburg@ncdenr.gov for assistance.</x18tc:text>
  </x18tc:threadedComment>
  <x18tc:threadedComment ref="E3" dT="2026-01-29T17:56:35.00" personId="{fdb7569f-c795-4502-9a38-4488a32fac51}" id="{13be15d1-b125-43bf-afe2-0d6da3b39581}" done="0">
    <x18tc:text xml:space="preserve">Input the PCS Code located in Attachment A of your permit.</x18tc:text>
  </x18tc:threadedComment>
  <x18tc:threadedComment ref="J3" dT="2026-01-29T17:56:35.00" personId="{fdb7569f-c795-4502-9a38-4488a32fac51}" id="{c11d303e-f2ed-4cef-bacb-a84f7ca715c2}" done="0">
    <x18tc:text xml:space="preserve">Input the PCS Code located in Attachment A of your permit.</x18tc:text>
  </x18tc:threadedComment>
  <x18tc:threadedComment ref="N3" dT="2026-01-29T17:56:35.00" personId="{fdb7569f-c795-4502-9a38-4488a32fac51}" id="{45265f7a-4b79-4afb-a5ae-3079e8b08333}" done="0">
    <x18tc:text xml:space="preserve">Input the PCS Code located in Attachment A of your permit.</x18tc:text>
  </x18tc:threadedComment>
  <x18tc:threadedComment ref="L3" dT="2026-01-29T17:56:35.00" personId="{fdb7569f-c795-4502-9a38-4488a32fac51}" id="{d3a0e88e-9386-4a4a-8cab-dfd7cf9deaae}" done="0">
    <x18tc:text xml:space="preserve">Input the PCS Code located in Attachment A of your permit.</x18tc:text>
  </x18tc:threadedComment>
  <x18tc:threadedComment ref="R3" dT="2026-01-29T17:56:35.00" personId="{fdb7569f-c795-4502-9a38-4488a32fac51}" id="{18b06592-a39f-4cef-b2c1-7833363fcd7e}" done="0">
    <x18tc:text xml:space="preserve">Input the PCS Code located in Attachment A of your permit.</x18tc:text>
  </x18tc:threadedComment>
  <x18tc:threadedComment ref="G5" dT="2026-01-29T17:56:35.00" personId="{fdb7569f-c795-4502-9a38-4488a32fac51}" id="{e4a1c66a-6d88-4a07-aba4-269a6d269573}" done="0">
    <x18tc:text xml:space="preserve">If the DWQ accepted units do not match your Attachment A, email nathaniel.thornburg@ncdenr.gov for assistance.</x18tc:text>
  </x18tc:threadedComment>
  <x18tc:threadedComment ref="F5" dT="2026-01-29T17:56:35.00" personId="{fdb7569f-c795-4502-9a38-4488a32fac51}" id="{6606441a-e3de-4333-b656-85e2b2154649}" done="0">
    <x18tc:text xml:space="preserve">If the DWQ accepted units do not match your Attachment A, email nathaniel.thornburg@ncdenr.gov for assistance.</x18tc:text>
  </x18tc:threadedComment>
  <x18tc:threadedComment ref="F3" dT="2026-01-29T17:56:35.00" personId="{fdb7569f-c795-4502-9a38-4488a32fac51}" id="{09cf7ed6-f1cf-4eba-9c6f-9677ab27e589}" done="0">
    <x18tc:text xml:space="preserve">Input the PCS Code located in Attachment A of your permit.</x18tc:text>
  </x18tc:threadedComment>
  <x18tc:threadedComment ref="P3" dT="2026-01-29T17:56:35.00" personId="{fdb7569f-c795-4502-9a38-4488a32fac51}" id="{e903b228-f536-4578-a0a2-4190e806f75f}" done="0">
    <x18tc:text xml:space="preserve">Input the PCS Code located in Attachment A of your permit.</x18tc:text>
  </x18tc:threadedComment>
  <x18tc:threadedComment ref="A2" dT="2026-01-29T17:56:35.00" personId="{fdb7569f-c795-4502-9a38-4488a32fac51}" id="{2df082ef-4394-4154-879b-0a750d8e8d04}" done="0">
    <x18tc:text xml:space="preserve">The appropriate PPI number may be found in Attachment A of your most recently issued permit.</x18tc:text>
  </x18tc:threadedComment>
  <x18tc:threadedComment ref="J5" dT="2026-01-29T17:56:35.00" personId="{fdb7569f-c795-4502-9a38-4488a32fac51}" id="{86457462-de9a-4083-b59a-51af1fd9ff1b}" done="0">
    <x18tc:text xml:space="preserve">If the DWQ accepted units do not match your Attachment A, email nathaniel.thornburg@ncdenr.gov for assistance.</x18tc:text>
  </x18tc:threadedComment>
  <x18tc:threadedComment ref="E5" dT="2026-01-29T17:56:35.00" personId="{fdb7569f-c795-4502-9a38-4488a32fac51}" id="{4a100ecc-359f-48bb-a18d-635fa9be454b}" done="0">
    <x18tc:text xml:space="preserve">If the DWQ accepted units do not match your Attachment A, email nathaniel.thornburg@ncdenr.gov for assistance.</x18tc:text>
  </x18tc:threadedComment>
  <x18tc:threadedComment ref="B4" dT="2026-01-29T17:56:35.00" personId="{fdb7569f-c795-4502-9a38-4488a32fac51}" id="{c75d1c4d-ad19-47f9-80ff-c593bb722771}" done="0">
    <x18tc:text xml:space="preserve">Use 24-hour clock</x18tc:text>
  </x18tc:threadedComment>
  <x18tc:threadedComment ref="P5" dT="2026-01-29T17:56:35.00" personId="{fdb7569f-c795-4502-9a38-4488a32fac51}" id="{fc9740df-ea19-4245-b1ba-f551d8b72b13}" done="0">
    <x18tc:text xml:space="preserve">If the DWQ accepted units do not match your Attachment A, email nathaniel.thornburg@ncdenr.gov for assistance.</x18tc:text>
  </x18tc:threadedComment>
  <x18tc:threadedComment ref="H5" dT="2026-01-29T17:56:35.00" personId="{fdb7569f-c795-4502-9a38-4488a32fac51}" id="{906da189-2552-4551-84d1-217683d7b418}" done="0">
    <x18tc:text xml:space="preserve">If the DWQ accepted units do not match your Attachment A, email nathaniel.thornburg@ncdenr.gov for assistance.</x18tc:text>
  </x18tc:threadedComment>
  <x18tc:threadedComment ref="M3" dT="2026-01-29T17:56:35.00" personId="{fdb7569f-c795-4502-9a38-4488a32fac51}" id="{1b82da85-dc68-4302-af43-a5893ed67188}" done="0">
    <x18tc:text xml:space="preserve">Input the PCS Code located in Attachment A of your permit.</x18tc:text>
  </x18tc:threadedComment>
  <x18tc:threadedComment ref="Q3" dT="2026-01-29T17:56:35.00" personId="{fdb7569f-c795-4502-9a38-4488a32fac51}" id="{80c8f540-70f8-4d8f-b396-3b64a051b6d2}" done="0">
    <x18tc:text xml:space="preserve">Input the PCS Code located in Attachment A of your permit.</x18tc:text>
  </x18tc:threadedComment>
  <x18tc:threadedComment ref="O5" dT="2026-01-29T17:56:35.00" personId="{fdb7569f-c795-4502-9a38-4488a32fac51}" id="{a31c61f0-6352-4bbd-99af-0f57255ca25f}" done="0">
    <x18tc:text xml:space="preserve">If the DWQ accepted units do not match your Attachment A, email nathaniel.thornburg@ncdenr.gov for assistance.</x18tc:text>
  </x18tc:threadedComment>
  <x18tc:threadedComment ref="L5" dT="2026-01-29T17:56:35.00" personId="{fdb7569f-c795-4502-9a38-4488a32fac51}" id="{de255037-056c-4043-aeed-2f4cd87a72f6}" done="0">
    <x18tc:text xml:space="preserve">If the DWQ accepted units do not match your Attachment A, email nathaniel.thornburg@ncdenr.gov for assistance.</x18tc:text>
  </x18tc:threadedComment>
  <x18tc:threadedComment ref="Q5" dT="2026-01-29T17:56:35.00" personId="{fdb7569f-c795-4502-9a38-4488a32fac51}" id="{3c173303-8aaf-4a79-8825-03c8ad462ed9}" done="0">
    <x18tc:text xml:space="preserve">If the DWQ accepted units do not match your Attachment A, email nathaniel.thornburg@ncdenr.gov for assistance.</x18tc:text>
  </x18tc:threadedComment>
  <x18tc:threadedComment ref="G3" dT="2026-01-29T17:56:35.00" personId="{fdb7569f-c795-4502-9a38-4488a32fac51}" id="{b37abf1f-075e-42de-a524-26d8eb58f734}" done="0">
    <x18tc:text xml:space="preserve">Input the PCS Code located in Attachment A of your permit.</x18tc:text>
  </x18tc:threadedComment>
  <x18tc:threadedComment ref="I3" dT="2026-01-29T17:56:35.00" personId="{fdb7569f-c795-4502-9a38-4488a32fac51}" id="{8a83d4a8-d499-4063-b636-832c068776ee}" done="0">
    <x18tc:text xml:space="preserve">Input the PCS Code located in Attachment A of your permit.</x18tc:text>
  </x18tc:threadedComment>
  <x18tc:threadedComment ref="S3" dT="2026-01-29T17:56:35.00" personId="{fdb7569f-c795-4502-9a38-4488a32fac51}" id="{0f8aaf28-e0a2-4f8b-a358-cdf541585368}" done="0">
    <x18tc:text xml:space="preserve">Input the PCS Code located in Attachment A of your permit.</x18tc:text>
  </x18tc:threadedComment>
  <x18tc:threadedComment ref="N5" dT="2026-01-29T17:56:35.00" personId="{fdb7569f-c795-4502-9a38-4488a32fac51}" id="{8b97b8d1-3015-43fa-bcca-63e88f6561e9}" done="0">
    <x18tc:text xml:space="preserve">If the DWQ accepted units do not match your Attachment A, email nathaniel.thornburg@ncdenr.gov for assistance.</x18tc:text>
  </x18tc:threadedComment>
  <x18tc:threadedComment ref="O3" dT="2026-01-29T17:56:35.00" personId="{fdb7569f-c795-4502-9a38-4488a32fac51}" id="{fbe54064-4e03-439f-b4ad-e95ca79b7d85}" done="0">
    <x18tc:text xml:space="preserve">Input the PCS Code located in Attachment A of your permit.</x18tc:text>
  </x18tc:threadedComment>
  <x18tc:threadedComment ref="C4" dT="2026-01-29T17:56:35.00" personId="{fdb7569f-c795-4502-9a38-4488a32fac51}" id="{aaab3e8a-c373-4612-88f8-a9a72108063d}" done="0">
    <x18tc:text xml:space="preserve">Use decimal hours.</x18tc:text>
  </x18tc:threadedComment>
  <x18tc:threadedComment ref="R5" dT="2026-01-29T17:56:35.00" personId="{fdb7569f-c795-4502-9a38-4488a32fac51}" id="{84a60f2b-06fd-47d3-900f-890ad597526e}" done="0">
    <x18tc:text xml:space="preserve">If the DWQ accepted units do not match your Attachment A, email nathaniel.thornburg@ncdenr.gov for assistance.</x18tc:text>
  </x18tc:threadedComment>
  <x18tc:threadedComment ref="S5" dT="2026-01-29T17:56:35.00" personId="{fdb7569f-c795-4502-9a38-4488a32fac51}" id="{24daa771-5954-4ea8-8ee1-1cd9d66e3130}" done="0">
    <x18tc:text xml:space="preserve">If the DWQ accepted units do not match your Attachment A, email nathaniel.thornburg@ncdenr.gov for assistance.</x18tc:text>
  </x18tc:threadedComment>
  <x18tc:threadedComment ref="K5" dT="2026-01-29T17:56:35.00" personId="{fdb7569f-c795-4502-9a38-4488a32fac51}" id="{e03a4b53-a7f1-426b-87bb-c9c4e121c528}" done="0">
    <x18tc:text xml:space="preserve">If the DWQ accepted units do not match your Attachment A, email nathaniel.thornburg@ncdenr.gov for assistance.</x18tc:text>
  </x18tc:threadedComment>
  <x18tc:threadedComment ref="I5" dT="2026-01-29T17:56:35.00" personId="{fdb7569f-c795-4502-9a38-4488a32fac51}" id="{99b916d5-d17e-4ab6-841a-3f2d811af0b2}" done="0">
    <x18tc:text xml:space="preserve">If the DWQ accepted units do not match your Attachment A, email nathaniel.thornburg@ncdenr.gov for assistance.</x18tc:text>
  </x18tc:threadedComment>
  <x18tc:threadedComment ref="K3" dT="2026-01-29T17:56:35.00" personId="{fdb7569f-c795-4502-9a38-4488a32fac51}" id="{7faa0318-00e5-4cec-9ae6-c07d826f94ff}" done="0">
    <x18tc:text xml:space="preserve">Input the PCS Code located in Attachment A of your permit.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1-29T17:56:35.00" personId="{fdb7569f-c795-4502-9a38-4488a32fac51}" id="{eb9f0f26-ee30-4eb3-bb9d-84daecaa408f}" done="0">
    <x18tc:text xml:space="preserve">If accepted units do not match your Attachment A, email nathaniel.thornburg@ncdenr.gov for assistance.</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1000"/>
  <sheetViews>
    <sheetView tabSelected="1" zoomScaleNormal="100" workbookViewId="0">
      <selection activeCell="A3" sqref="A3:C3"/>
    </sheetView>
  </sheetViews>
  <sheetFormatPr defaultColWidth="12.6640625" defaultRowHeight="15" customHeight="1" x14ac:dyDescent="0.25"/>
  <cols>
    <col min="1" max="1" width="3.109375" customWidth="1"/>
    <col min="2" max="3" width="8.44140625" customWidth="1"/>
    <col min="4" max="4" width="9.88671875" customWidth="1"/>
    <col min="5" max="19" width="9.21875" customWidth="1"/>
    <col min="20" max="20" width="4.44140625" customWidth="1"/>
    <col min="21" max="26" width="9.109375" customWidth="1"/>
  </cols>
  <sheetData>
    <row r="1" spans="1:26" ht="22.5" customHeight="1" x14ac:dyDescent="0.25">
      <c r="A1" s="75" t="s">
        <v>0</v>
      </c>
      <c r="B1" s="76"/>
      <c r="C1" s="77"/>
      <c r="D1" s="78"/>
      <c r="E1" s="79" t="s">
        <v>1</v>
      </c>
      <c r="F1" s="76"/>
      <c r="G1" s="77"/>
      <c r="H1" s="80"/>
      <c r="I1" s="80"/>
      <c r="J1" s="80"/>
      <c r="K1" s="78"/>
      <c r="L1" s="1" t="s">
        <v>2</v>
      </c>
      <c r="M1" s="81"/>
      <c r="N1" s="78"/>
      <c r="O1" s="1" t="s">
        <v>3</v>
      </c>
      <c r="P1" s="82"/>
      <c r="Q1" s="78"/>
      <c r="R1" s="2" t="s">
        <v>4</v>
      </c>
      <c r="S1" s="3"/>
      <c r="T1" s="4"/>
      <c r="U1" s="5"/>
      <c r="V1" s="5"/>
      <c r="W1" s="5"/>
      <c r="X1" s="5"/>
      <c r="Y1" s="5"/>
      <c r="Z1" s="5"/>
    </row>
    <row r="2" spans="1:26" ht="22.5" customHeight="1" x14ac:dyDescent="0.25">
      <c r="A2" s="83" t="s">
        <v>5</v>
      </c>
      <c r="B2" s="84"/>
      <c r="C2" s="6"/>
      <c r="D2" s="72" t="s">
        <v>6</v>
      </c>
      <c r="E2" s="73"/>
      <c r="F2" s="73"/>
      <c r="G2" s="73"/>
      <c r="H2" s="73"/>
      <c r="I2" s="73"/>
      <c r="J2" s="74"/>
      <c r="K2" s="72" t="s">
        <v>7</v>
      </c>
      <c r="L2" s="73"/>
      <c r="M2" s="73"/>
      <c r="N2" s="73"/>
      <c r="O2" s="73"/>
      <c r="P2" s="73"/>
      <c r="Q2" s="73"/>
      <c r="R2" s="73"/>
      <c r="S2" s="74"/>
      <c r="T2" s="5"/>
      <c r="U2" s="5"/>
      <c r="V2" s="5"/>
      <c r="W2" s="5"/>
      <c r="X2" s="5"/>
      <c r="Y2" s="5"/>
      <c r="Z2" s="5"/>
    </row>
    <row r="3" spans="1:26" ht="18.75" customHeight="1" x14ac:dyDescent="0.25">
      <c r="A3" s="88" t="s">
        <v>8</v>
      </c>
      <c r="B3" s="89"/>
      <c r="C3" s="90"/>
      <c r="D3" s="7">
        <v>50050</v>
      </c>
      <c r="E3" s="8"/>
      <c r="F3" s="7"/>
      <c r="G3" s="8"/>
      <c r="H3" s="7"/>
      <c r="I3" s="8"/>
      <c r="J3" s="7"/>
      <c r="K3" s="8"/>
      <c r="L3" s="7"/>
      <c r="M3" s="8"/>
      <c r="N3" s="7"/>
      <c r="O3" s="8"/>
      <c r="P3" s="7"/>
      <c r="Q3" s="8"/>
      <c r="R3" s="7"/>
      <c r="S3" s="9"/>
      <c r="T3" s="5"/>
      <c r="U3" s="5"/>
      <c r="V3" s="5"/>
      <c r="W3" s="5"/>
      <c r="X3" s="5"/>
      <c r="Y3" s="5"/>
      <c r="Z3" s="5"/>
    </row>
    <row r="4" spans="1:26" ht="71.25" customHeight="1" x14ac:dyDescent="0.25">
      <c r="A4" s="91" t="s">
        <v>9</v>
      </c>
      <c r="B4" s="10" t="s">
        <v>10</v>
      </c>
      <c r="C4" s="11" t="s">
        <v>11</v>
      </c>
      <c r="D4" s="12" t="s">
        <v>12</v>
      </c>
      <c r="E4" s="13" t="str">
        <f>IF(ISBLANK(E$3), " ", VLOOKUP(E$3,'PCS Parameter Codes'!$A$1:$D$76,2,FALSE))</f>
        <v xml:space="preserve"> </v>
      </c>
      <c r="F4" s="14" t="str">
        <f>IF(ISBLANK(F$3), " ", VLOOKUP(F$3,'PCS Parameter Codes'!$A$1:$D$76,2,FALSE))</f>
        <v xml:space="preserve"> </v>
      </c>
      <c r="G4" s="13" t="str">
        <f>IF(ISBLANK(G$3), " ", VLOOKUP(G$3,'PCS Parameter Codes'!$A$1:$D$76,2,FALSE))</f>
        <v xml:space="preserve"> </v>
      </c>
      <c r="H4" s="14" t="str">
        <f>IF(ISBLANK(H$3), " ", VLOOKUP(H$3,'PCS Parameter Codes'!$A$1:$D$76,2,FALSE))</f>
        <v xml:space="preserve"> </v>
      </c>
      <c r="I4" s="13" t="str">
        <f>IF(ISBLANK(I$3), " ", VLOOKUP(I$3,'PCS Parameter Codes'!$A$1:$D$76,2,FALSE))</f>
        <v xml:space="preserve"> </v>
      </c>
      <c r="J4" s="14" t="str">
        <f>IF(ISBLANK(J$3), " ", VLOOKUP(J$3,'PCS Parameter Codes'!$A$1:$D$76,2,FALSE))</f>
        <v xml:space="preserve"> </v>
      </c>
      <c r="K4" s="13" t="str">
        <f>IF(ISBLANK(K$3), " ", VLOOKUP(K$3,'PCS Parameter Codes'!$A$1:$D$76,2,FALSE))</f>
        <v xml:space="preserve"> </v>
      </c>
      <c r="L4" s="14" t="str">
        <f>IF(ISBLANK(L$3), " ", VLOOKUP(L$3,'PCS Parameter Codes'!$A$1:$D$76,2,FALSE))</f>
        <v xml:space="preserve"> </v>
      </c>
      <c r="M4" s="13" t="str">
        <f>IF(ISBLANK(M$3), " ", VLOOKUP(M$3,'PCS Parameter Codes'!$A$1:$D$76,2,FALSE))</f>
        <v xml:space="preserve"> </v>
      </c>
      <c r="N4" s="14" t="str">
        <f>IF(ISBLANK(N$3), " ", VLOOKUP(N$3,'PCS Parameter Codes'!$A$1:$D$76,2,FALSE))</f>
        <v xml:space="preserve"> </v>
      </c>
      <c r="O4" s="13" t="str">
        <f>IF(ISBLANK(O$3), " ", VLOOKUP(O$3,'PCS Parameter Codes'!$A$1:$D$76,2,FALSE))</f>
        <v xml:space="preserve"> </v>
      </c>
      <c r="P4" s="14" t="str">
        <f>IF(ISBLANK(P$3), " ", VLOOKUP(P$3,'PCS Parameter Codes'!$A$1:$D$76,2,FALSE))</f>
        <v xml:space="preserve"> </v>
      </c>
      <c r="Q4" s="13" t="str">
        <f>IF(ISBLANK(Q$3), " ", VLOOKUP(Q$3,'PCS Parameter Codes'!$A$1:$D$76,2,FALSE))</f>
        <v xml:space="preserve"> </v>
      </c>
      <c r="R4" s="14" t="str">
        <f>IF(ISBLANK(R$3), " ", VLOOKUP(R$3,'PCS Parameter Codes'!$A$1:$D$76,2,FALSE))</f>
        <v xml:space="preserve"> </v>
      </c>
      <c r="S4" s="15" t="str">
        <f>IF(ISBLANK(S$3), " ", VLOOKUP(S$3,'PCS Parameter Codes'!$A$1:$D$76,2,FALSE))</f>
        <v xml:space="preserve"> </v>
      </c>
      <c r="T4" s="5"/>
      <c r="U4" s="5"/>
      <c r="V4" s="5"/>
      <c r="W4" s="5"/>
      <c r="X4" s="5"/>
      <c r="Y4" s="5"/>
      <c r="Z4" s="5"/>
    </row>
    <row r="5" spans="1:26" ht="15.75" customHeight="1" x14ac:dyDescent="0.25">
      <c r="A5" s="92"/>
      <c r="B5" s="16" t="s">
        <v>13</v>
      </c>
      <c r="C5" s="17" t="s">
        <v>14</v>
      </c>
      <c r="D5" s="18" t="s">
        <v>15</v>
      </c>
      <c r="E5" s="8" t="str">
        <f>IF(ISBLANK(E$3), " ", VLOOKUP(E$3,'PCS Parameter Codes'!$A$1:$D$76,4,FALSE))</f>
        <v xml:space="preserve"> </v>
      </c>
      <c r="F5" s="7" t="str">
        <f>IF(ISBLANK(F$3), " ", VLOOKUP(F$3,'PCS Parameter Codes'!$A$1:$D$76,4,FALSE))</f>
        <v xml:space="preserve"> </v>
      </c>
      <c r="G5" s="8" t="str">
        <f>IF(ISBLANK(G$3), " ", VLOOKUP(G$3,'PCS Parameter Codes'!$A$1:$D$76,4,FALSE))</f>
        <v xml:space="preserve"> </v>
      </c>
      <c r="H5" s="7" t="str">
        <f>IF(ISBLANK(H$3), " ", VLOOKUP(H$3,'PCS Parameter Codes'!$A$1:$D$76,4,FALSE))</f>
        <v xml:space="preserve"> </v>
      </c>
      <c r="I5" s="8" t="str">
        <f>IF(ISBLANK(I$3), " ", VLOOKUP(I$3,'PCS Parameter Codes'!$A$1:$D$76,4,FALSE))</f>
        <v xml:space="preserve"> </v>
      </c>
      <c r="J5" s="7" t="str">
        <f>IF(ISBLANK(J$3), " ", VLOOKUP(J$3,'PCS Parameter Codes'!$A$1:$D$76,4,FALSE))</f>
        <v xml:space="preserve"> </v>
      </c>
      <c r="K5" s="8" t="str">
        <f>IF(ISBLANK(K$3), " ", VLOOKUP(K$3,'PCS Parameter Codes'!$A$1:$D$76,4,FALSE))</f>
        <v xml:space="preserve"> </v>
      </c>
      <c r="L5" s="7" t="str">
        <f>IF(ISBLANK(L$3), " ", VLOOKUP(L$3,'PCS Parameter Codes'!$A$1:$D$76,4,FALSE))</f>
        <v xml:space="preserve"> </v>
      </c>
      <c r="M5" s="8" t="str">
        <f>IF(ISBLANK(M$3), " ", VLOOKUP(M$3,'PCS Parameter Codes'!$A$1:$D$76,4,FALSE))</f>
        <v xml:space="preserve"> </v>
      </c>
      <c r="N5" s="7" t="str">
        <f>IF(ISBLANK(N$3), " ", VLOOKUP(N$3,'PCS Parameter Codes'!$A$1:$D$76,4,FALSE))</f>
        <v xml:space="preserve"> </v>
      </c>
      <c r="O5" s="8" t="str">
        <f>IF(ISBLANK(O$3), " ", VLOOKUP(O$3,'PCS Parameter Codes'!$A$1:$D$76,4,FALSE))</f>
        <v xml:space="preserve"> </v>
      </c>
      <c r="P5" s="7" t="str">
        <f>IF(ISBLANK(P$3), " ", VLOOKUP(P$3,'PCS Parameter Codes'!$A$1:$D$76,4,FALSE))</f>
        <v xml:space="preserve"> </v>
      </c>
      <c r="Q5" s="8" t="str">
        <f>IF(ISBLANK(Q$3), " ", VLOOKUP(Q$3,'PCS Parameter Codes'!$A$1:$D$76,4,FALSE))</f>
        <v xml:space="preserve"> </v>
      </c>
      <c r="R5" s="7" t="str">
        <f>IF(ISBLANK(R$3), " ", VLOOKUP(R$3,'PCS Parameter Codes'!$A$1:$D$76,4,FALSE))</f>
        <v xml:space="preserve"> </v>
      </c>
      <c r="S5" s="19" t="str">
        <f>IF(ISBLANK(S$3), " ", VLOOKUP(S$3,'PCS Parameter Codes'!$A$1:$D$76,4,FALSE))</f>
        <v xml:space="preserve"> </v>
      </c>
      <c r="T5" s="5"/>
      <c r="U5" s="5"/>
      <c r="V5" s="5"/>
      <c r="W5" s="5"/>
      <c r="X5" s="5"/>
      <c r="Y5" s="5"/>
      <c r="Z5" s="5"/>
    </row>
    <row r="6" spans="1:26" ht="15" customHeight="1" x14ac:dyDescent="0.25">
      <c r="A6" s="20">
        <v>1</v>
      </c>
      <c r="B6" s="21"/>
      <c r="C6" s="22"/>
      <c r="D6" s="23"/>
      <c r="E6" s="24"/>
      <c r="F6" s="25"/>
      <c r="G6" s="24"/>
      <c r="H6" s="25"/>
      <c r="I6" s="24"/>
      <c r="J6" s="25"/>
      <c r="K6" s="24"/>
      <c r="L6" s="25"/>
      <c r="M6" s="24"/>
      <c r="N6" s="25"/>
      <c r="O6" s="24"/>
      <c r="P6" s="25"/>
      <c r="Q6" s="24"/>
      <c r="R6" s="25"/>
      <c r="S6" s="26"/>
      <c r="T6" s="5"/>
      <c r="U6" s="5"/>
      <c r="V6" s="5"/>
      <c r="W6" s="5"/>
      <c r="X6" s="5"/>
      <c r="Y6" s="5"/>
      <c r="Z6" s="5"/>
    </row>
    <row r="7" spans="1:26" ht="15" customHeight="1" x14ac:dyDescent="0.25">
      <c r="A7" s="20">
        <v>2</v>
      </c>
      <c r="B7" s="21"/>
      <c r="C7" s="22"/>
      <c r="D7" s="27"/>
      <c r="E7" s="22"/>
      <c r="F7" s="28"/>
      <c r="G7" s="22"/>
      <c r="H7" s="28"/>
      <c r="I7" s="22"/>
      <c r="J7" s="28"/>
      <c r="K7" s="22"/>
      <c r="L7" s="28"/>
      <c r="M7" s="22"/>
      <c r="N7" s="28"/>
      <c r="O7" s="22"/>
      <c r="P7" s="28"/>
      <c r="Q7" s="22"/>
      <c r="R7" s="28"/>
      <c r="S7" s="29"/>
      <c r="T7" s="5"/>
      <c r="U7" s="5"/>
      <c r="V7" s="5"/>
      <c r="W7" s="5"/>
      <c r="X7" s="5"/>
      <c r="Y7" s="5"/>
      <c r="Z7" s="5"/>
    </row>
    <row r="8" spans="1:26" ht="15" customHeight="1" x14ac:dyDescent="0.25">
      <c r="A8" s="20">
        <v>3</v>
      </c>
      <c r="B8" s="21"/>
      <c r="C8" s="22"/>
      <c r="D8" s="27"/>
      <c r="E8" s="22"/>
      <c r="F8" s="28"/>
      <c r="G8" s="22"/>
      <c r="H8" s="28"/>
      <c r="I8" s="22"/>
      <c r="J8" s="28"/>
      <c r="K8" s="22"/>
      <c r="L8" s="28"/>
      <c r="M8" s="22"/>
      <c r="N8" s="28"/>
      <c r="O8" s="22"/>
      <c r="P8" s="28"/>
      <c r="Q8" s="22"/>
      <c r="R8" s="28"/>
      <c r="S8" s="29"/>
      <c r="T8" s="5"/>
      <c r="U8" s="5"/>
      <c r="V8" s="5"/>
      <c r="W8" s="5"/>
      <c r="X8" s="5"/>
      <c r="Y8" s="5"/>
      <c r="Z8" s="5"/>
    </row>
    <row r="9" spans="1:26" ht="15" customHeight="1" x14ac:dyDescent="0.25">
      <c r="A9" s="20">
        <v>4</v>
      </c>
      <c r="B9" s="21"/>
      <c r="C9" s="22"/>
      <c r="D9" s="27"/>
      <c r="E9" s="22"/>
      <c r="F9" s="28"/>
      <c r="G9" s="22"/>
      <c r="H9" s="28"/>
      <c r="I9" s="22"/>
      <c r="J9" s="28"/>
      <c r="K9" s="22"/>
      <c r="L9" s="28"/>
      <c r="M9" s="22"/>
      <c r="N9" s="28"/>
      <c r="O9" s="22"/>
      <c r="P9" s="28"/>
      <c r="Q9" s="22"/>
      <c r="R9" s="28"/>
      <c r="S9" s="29"/>
      <c r="T9" s="5"/>
      <c r="U9" s="5"/>
      <c r="V9" s="5"/>
      <c r="W9" s="5"/>
      <c r="X9" s="5"/>
      <c r="Y9" s="5"/>
      <c r="Z9" s="5"/>
    </row>
    <row r="10" spans="1:26" ht="15" customHeight="1" x14ac:dyDescent="0.25">
      <c r="A10" s="20">
        <v>5</v>
      </c>
      <c r="B10" s="21"/>
      <c r="C10" s="22"/>
      <c r="D10" s="27"/>
      <c r="E10" s="22"/>
      <c r="F10" s="28"/>
      <c r="G10" s="22"/>
      <c r="H10" s="28"/>
      <c r="I10" s="22"/>
      <c r="J10" s="28"/>
      <c r="K10" s="22"/>
      <c r="L10" s="28"/>
      <c r="M10" s="22"/>
      <c r="N10" s="28"/>
      <c r="O10" s="22"/>
      <c r="P10" s="28"/>
      <c r="Q10" s="22"/>
      <c r="R10" s="28"/>
      <c r="S10" s="29"/>
      <c r="T10" s="5"/>
      <c r="U10" s="5"/>
      <c r="V10" s="5"/>
      <c r="W10" s="5"/>
      <c r="X10" s="5"/>
      <c r="Y10" s="5"/>
      <c r="Z10" s="5"/>
    </row>
    <row r="11" spans="1:26" ht="15" customHeight="1" x14ac:dyDescent="0.25">
      <c r="A11" s="20">
        <v>6</v>
      </c>
      <c r="B11" s="21"/>
      <c r="C11" s="22"/>
      <c r="D11" s="27"/>
      <c r="E11" s="22"/>
      <c r="F11" s="28"/>
      <c r="G11" s="22"/>
      <c r="H11" s="28"/>
      <c r="I11" s="22"/>
      <c r="J11" s="28"/>
      <c r="K11" s="22"/>
      <c r="L11" s="28"/>
      <c r="M11" s="22"/>
      <c r="N11" s="28"/>
      <c r="O11" s="22"/>
      <c r="P11" s="28"/>
      <c r="Q11" s="22"/>
      <c r="R11" s="28"/>
      <c r="S11" s="29"/>
      <c r="T11" s="5"/>
      <c r="U11" s="5"/>
      <c r="V11" s="5"/>
      <c r="W11" s="5"/>
      <c r="X11" s="5"/>
      <c r="Y11" s="5"/>
      <c r="Z11" s="5"/>
    </row>
    <row r="12" spans="1:26" ht="15" customHeight="1" x14ac:dyDescent="0.25">
      <c r="A12" s="20">
        <v>7</v>
      </c>
      <c r="B12" s="21"/>
      <c r="C12" s="22"/>
      <c r="D12" s="27"/>
      <c r="E12" s="22"/>
      <c r="F12" s="28"/>
      <c r="G12" s="22"/>
      <c r="H12" s="28"/>
      <c r="I12" s="22"/>
      <c r="J12" s="28"/>
      <c r="K12" s="22"/>
      <c r="L12" s="28"/>
      <c r="M12" s="22"/>
      <c r="N12" s="28"/>
      <c r="O12" s="22"/>
      <c r="P12" s="28"/>
      <c r="Q12" s="22"/>
      <c r="R12" s="28"/>
      <c r="S12" s="29"/>
      <c r="T12" s="5"/>
      <c r="U12" s="5"/>
      <c r="V12" s="5"/>
      <c r="W12" s="5"/>
      <c r="X12" s="5"/>
      <c r="Y12" s="5"/>
      <c r="Z12" s="5"/>
    </row>
    <row r="13" spans="1:26" ht="15" customHeight="1" x14ac:dyDescent="0.25">
      <c r="A13" s="20">
        <v>8</v>
      </c>
      <c r="B13" s="21"/>
      <c r="C13" s="22"/>
      <c r="D13" s="27"/>
      <c r="E13" s="22"/>
      <c r="F13" s="28"/>
      <c r="G13" s="22"/>
      <c r="H13" s="28"/>
      <c r="I13" s="22"/>
      <c r="J13" s="28"/>
      <c r="K13" s="22"/>
      <c r="L13" s="28"/>
      <c r="M13" s="22"/>
      <c r="N13" s="28"/>
      <c r="O13" s="22"/>
      <c r="P13" s="28"/>
      <c r="Q13" s="22"/>
      <c r="R13" s="28"/>
      <c r="S13" s="29"/>
      <c r="T13" s="5"/>
      <c r="U13" s="5"/>
      <c r="V13" s="5"/>
      <c r="W13" s="5"/>
      <c r="X13" s="5"/>
      <c r="Y13" s="5"/>
      <c r="Z13" s="5"/>
    </row>
    <row r="14" spans="1:26" ht="15" customHeight="1" x14ac:dyDescent="0.25">
      <c r="A14" s="20">
        <v>9</v>
      </c>
      <c r="B14" s="21"/>
      <c r="C14" s="22"/>
      <c r="D14" s="27"/>
      <c r="E14" s="22"/>
      <c r="F14" s="28"/>
      <c r="G14" s="22"/>
      <c r="H14" s="28"/>
      <c r="I14" s="22"/>
      <c r="J14" s="28"/>
      <c r="K14" s="22"/>
      <c r="L14" s="28"/>
      <c r="M14" s="22"/>
      <c r="N14" s="28"/>
      <c r="O14" s="22"/>
      <c r="P14" s="28"/>
      <c r="Q14" s="22"/>
      <c r="R14" s="28"/>
      <c r="S14" s="29"/>
      <c r="T14" s="5"/>
      <c r="U14" s="5"/>
      <c r="V14" s="5"/>
      <c r="W14" s="5"/>
      <c r="X14" s="5"/>
      <c r="Y14" s="5"/>
      <c r="Z14" s="5"/>
    </row>
    <row r="15" spans="1:26" ht="15" customHeight="1" x14ac:dyDescent="0.25">
      <c r="A15" s="20">
        <v>10</v>
      </c>
      <c r="B15" s="21"/>
      <c r="C15" s="22"/>
      <c r="D15" s="27"/>
      <c r="E15" s="22"/>
      <c r="F15" s="28"/>
      <c r="G15" s="22"/>
      <c r="H15" s="28"/>
      <c r="I15" s="22"/>
      <c r="J15" s="28"/>
      <c r="K15" s="22"/>
      <c r="L15" s="28"/>
      <c r="M15" s="22"/>
      <c r="N15" s="28"/>
      <c r="O15" s="22"/>
      <c r="P15" s="28"/>
      <c r="Q15" s="22"/>
      <c r="R15" s="28"/>
      <c r="S15" s="29"/>
      <c r="T15" s="5"/>
      <c r="U15" s="5"/>
      <c r="V15" s="5"/>
      <c r="W15" s="5"/>
      <c r="X15" s="5"/>
      <c r="Y15" s="5"/>
      <c r="Z15" s="5"/>
    </row>
    <row r="16" spans="1:26" ht="15" customHeight="1" x14ac:dyDescent="0.25">
      <c r="A16" s="20">
        <v>11</v>
      </c>
      <c r="B16" s="21"/>
      <c r="C16" s="22"/>
      <c r="D16" s="27"/>
      <c r="E16" s="22"/>
      <c r="F16" s="28"/>
      <c r="G16" s="22"/>
      <c r="H16" s="28"/>
      <c r="I16" s="22"/>
      <c r="J16" s="28"/>
      <c r="K16" s="22"/>
      <c r="L16" s="28"/>
      <c r="M16" s="22"/>
      <c r="N16" s="28"/>
      <c r="O16" s="22"/>
      <c r="P16" s="28"/>
      <c r="Q16" s="22"/>
      <c r="R16" s="28"/>
      <c r="S16" s="29"/>
      <c r="T16" s="5"/>
      <c r="U16" s="5"/>
      <c r="V16" s="5"/>
      <c r="W16" s="5"/>
      <c r="X16" s="5"/>
      <c r="Y16" s="5"/>
      <c r="Z16" s="5"/>
    </row>
    <row r="17" spans="1:26" ht="15" customHeight="1" x14ac:dyDescent="0.25">
      <c r="A17" s="20">
        <v>12</v>
      </c>
      <c r="B17" s="21"/>
      <c r="C17" s="22"/>
      <c r="D17" s="27"/>
      <c r="E17" s="22"/>
      <c r="F17" s="28"/>
      <c r="G17" s="22"/>
      <c r="H17" s="28"/>
      <c r="I17" s="22"/>
      <c r="J17" s="28"/>
      <c r="K17" s="22"/>
      <c r="L17" s="28"/>
      <c r="M17" s="22"/>
      <c r="N17" s="28"/>
      <c r="O17" s="22"/>
      <c r="P17" s="28"/>
      <c r="Q17" s="22"/>
      <c r="R17" s="28"/>
      <c r="S17" s="29"/>
      <c r="T17" s="5"/>
      <c r="U17" s="5"/>
      <c r="V17" s="5"/>
      <c r="W17" s="5"/>
      <c r="X17" s="5"/>
      <c r="Y17" s="5"/>
      <c r="Z17" s="5"/>
    </row>
    <row r="18" spans="1:26" ht="15" customHeight="1" x14ac:dyDescent="0.25">
      <c r="A18" s="20">
        <v>13</v>
      </c>
      <c r="B18" s="21"/>
      <c r="C18" s="22"/>
      <c r="D18" s="27"/>
      <c r="E18" s="22"/>
      <c r="F18" s="28"/>
      <c r="G18" s="22"/>
      <c r="H18" s="28"/>
      <c r="I18" s="22"/>
      <c r="J18" s="28"/>
      <c r="K18" s="22"/>
      <c r="L18" s="28"/>
      <c r="M18" s="22"/>
      <c r="N18" s="28"/>
      <c r="O18" s="22"/>
      <c r="P18" s="28"/>
      <c r="Q18" s="22"/>
      <c r="R18" s="28"/>
      <c r="S18" s="29"/>
      <c r="T18" s="5"/>
      <c r="U18" s="5"/>
      <c r="V18" s="5"/>
      <c r="W18" s="5"/>
      <c r="X18" s="5"/>
      <c r="Y18" s="5"/>
      <c r="Z18" s="5"/>
    </row>
    <row r="19" spans="1:26" ht="15" customHeight="1" x14ac:dyDescent="0.25">
      <c r="A19" s="20">
        <v>14</v>
      </c>
      <c r="B19" s="21"/>
      <c r="C19" s="22"/>
      <c r="D19" s="27"/>
      <c r="E19" s="22"/>
      <c r="F19" s="28"/>
      <c r="G19" s="22"/>
      <c r="H19" s="28"/>
      <c r="I19" s="22"/>
      <c r="J19" s="28"/>
      <c r="K19" s="22"/>
      <c r="L19" s="28"/>
      <c r="M19" s="22"/>
      <c r="N19" s="28"/>
      <c r="O19" s="22"/>
      <c r="P19" s="28"/>
      <c r="Q19" s="22"/>
      <c r="R19" s="28"/>
      <c r="S19" s="29"/>
      <c r="T19" s="5"/>
      <c r="U19" s="5"/>
      <c r="V19" s="5"/>
      <c r="W19" s="5"/>
      <c r="X19" s="5"/>
      <c r="Y19" s="5"/>
      <c r="Z19" s="5"/>
    </row>
    <row r="20" spans="1:26" ht="15" customHeight="1" x14ac:dyDescent="0.25">
      <c r="A20" s="20">
        <v>15</v>
      </c>
      <c r="B20" s="21"/>
      <c r="C20" s="22"/>
      <c r="D20" s="27"/>
      <c r="E20" s="22"/>
      <c r="F20" s="28"/>
      <c r="G20" s="22"/>
      <c r="H20" s="28"/>
      <c r="I20" s="22"/>
      <c r="J20" s="28"/>
      <c r="K20" s="22"/>
      <c r="L20" s="28"/>
      <c r="M20" s="22"/>
      <c r="N20" s="28"/>
      <c r="O20" s="22"/>
      <c r="P20" s="28"/>
      <c r="Q20" s="22"/>
      <c r="R20" s="28"/>
      <c r="S20" s="29"/>
      <c r="T20" s="5"/>
      <c r="U20" s="5"/>
      <c r="V20" s="5"/>
      <c r="W20" s="5"/>
      <c r="X20" s="5"/>
      <c r="Y20" s="5"/>
      <c r="Z20" s="5"/>
    </row>
    <row r="21" spans="1:26" ht="15" customHeight="1" x14ac:dyDescent="0.25">
      <c r="A21" s="20">
        <v>16</v>
      </c>
      <c r="B21" s="21"/>
      <c r="C21" s="22"/>
      <c r="D21" s="27"/>
      <c r="E21" s="22"/>
      <c r="F21" s="28"/>
      <c r="G21" s="22"/>
      <c r="H21" s="28"/>
      <c r="I21" s="22"/>
      <c r="J21" s="28"/>
      <c r="K21" s="22"/>
      <c r="L21" s="28"/>
      <c r="M21" s="22"/>
      <c r="N21" s="28"/>
      <c r="O21" s="22"/>
      <c r="P21" s="28"/>
      <c r="Q21" s="22"/>
      <c r="R21" s="28"/>
      <c r="S21" s="29"/>
      <c r="T21" s="5"/>
      <c r="U21" s="5"/>
      <c r="V21" s="5"/>
      <c r="W21" s="5"/>
      <c r="X21" s="5"/>
      <c r="Y21" s="5"/>
      <c r="Z21" s="5"/>
    </row>
    <row r="22" spans="1:26" ht="15" customHeight="1" x14ac:dyDescent="0.25">
      <c r="A22" s="20">
        <v>17</v>
      </c>
      <c r="B22" s="21"/>
      <c r="C22" s="22"/>
      <c r="D22" s="27"/>
      <c r="E22" s="22"/>
      <c r="F22" s="28"/>
      <c r="G22" s="22"/>
      <c r="H22" s="28"/>
      <c r="I22" s="22"/>
      <c r="J22" s="28"/>
      <c r="K22" s="22"/>
      <c r="L22" s="28"/>
      <c r="M22" s="22"/>
      <c r="N22" s="28"/>
      <c r="O22" s="22"/>
      <c r="P22" s="28"/>
      <c r="Q22" s="22"/>
      <c r="R22" s="28"/>
      <c r="S22" s="29"/>
      <c r="T22" s="5"/>
      <c r="U22" s="5"/>
      <c r="V22" s="5"/>
      <c r="W22" s="5"/>
      <c r="X22" s="5"/>
      <c r="Y22" s="5"/>
      <c r="Z22" s="5"/>
    </row>
    <row r="23" spans="1:26" ht="15" customHeight="1" x14ac:dyDescent="0.25">
      <c r="A23" s="20">
        <v>18</v>
      </c>
      <c r="B23" s="21"/>
      <c r="C23" s="22"/>
      <c r="D23" s="27"/>
      <c r="E23" s="22"/>
      <c r="F23" s="28"/>
      <c r="G23" s="22"/>
      <c r="H23" s="28"/>
      <c r="I23" s="22"/>
      <c r="J23" s="28"/>
      <c r="K23" s="22"/>
      <c r="L23" s="28"/>
      <c r="M23" s="22"/>
      <c r="N23" s="28"/>
      <c r="O23" s="22"/>
      <c r="P23" s="28"/>
      <c r="Q23" s="22"/>
      <c r="R23" s="28"/>
      <c r="S23" s="29"/>
      <c r="T23" s="5"/>
      <c r="U23" s="5"/>
      <c r="V23" s="5"/>
      <c r="W23" s="5"/>
      <c r="X23" s="5"/>
      <c r="Y23" s="5"/>
      <c r="Z23" s="5"/>
    </row>
    <row r="24" spans="1:26" ht="15" customHeight="1" x14ac:dyDescent="0.25">
      <c r="A24" s="20">
        <v>19</v>
      </c>
      <c r="B24" s="21"/>
      <c r="C24" s="22"/>
      <c r="D24" s="27"/>
      <c r="E24" s="22"/>
      <c r="F24" s="28"/>
      <c r="G24" s="22"/>
      <c r="H24" s="28"/>
      <c r="I24" s="22"/>
      <c r="J24" s="28"/>
      <c r="K24" s="22"/>
      <c r="L24" s="28"/>
      <c r="M24" s="22"/>
      <c r="N24" s="28"/>
      <c r="O24" s="22"/>
      <c r="P24" s="28"/>
      <c r="Q24" s="22"/>
      <c r="R24" s="28"/>
      <c r="S24" s="29"/>
      <c r="T24" s="5"/>
      <c r="U24" s="5"/>
      <c r="V24" s="5"/>
      <c r="W24" s="5"/>
      <c r="X24" s="5"/>
      <c r="Y24" s="5"/>
      <c r="Z24" s="5"/>
    </row>
    <row r="25" spans="1:26" ht="15" customHeight="1" x14ac:dyDescent="0.25">
      <c r="A25" s="20">
        <v>20</v>
      </c>
      <c r="B25" s="21"/>
      <c r="C25" s="22"/>
      <c r="D25" s="27"/>
      <c r="E25" s="22"/>
      <c r="F25" s="28"/>
      <c r="G25" s="22"/>
      <c r="H25" s="28"/>
      <c r="I25" s="22"/>
      <c r="J25" s="28"/>
      <c r="K25" s="22"/>
      <c r="L25" s="28"/>
      <c r="M25" s="22"/>
      <c r="N25" s="28"/>
      <c r="O25" s="22"/>
      <c r="P25" s="28"/>
      <c r="Q25" s="22"/>
      <c r="R25" s="28"/>
      <c r="S25" s="29"/>
      <c r="T25" s="5"/>
      <c r="U25" s="5"/>
      <c r="V25" s="5"/>
      <c r="W25" s="5"/>
      <c r="X25" s="5"/>
      <c r="Y25" s="5"/>
      <c r="Z25" s="5"/>
    </row>
    <row r="26" spans="1:26" ht="15" customHeight="1" x14ac:dyDescent="0.25">
      <c r="A26" s="20">
        <v>21</v>
      </c>
      <c r="B26" s="21"/>
      <c r="C26" s="22"/>
      <c r="D26" s="27"/>
      <c r="E26" s="22"/>
      <c r="F26" s="28"/>
      <c r="G26" s="22"/>
      <c r="H26" s="28"/>
      <c r="I26" s="22"/>
      <c r="J26" s="28"/>
      <c r="K26" s="22"/>
      <c r="L26" s="28"/>
      <c r="M26" s="22"/>
      <c r="N26" s="28"/>
      <c r="O26" s="22"/>
      <c r="P26" s="28"/>
      <c r="Q26" s="22"/>
      <c r="R26" s="28"/>
      <c r="S26" s="29"/>
      <c r="T26" s="5"/>
      <c r="U26" s="5"/>
      <c r="V26" s="5"/>
      <c r="W26" s="5"/>
      <c r="X26" s="5"/>
      <c r="Y26" s="5"/>
      <c r="Z26" s="5"/>
    </row>
    <row r="27" spans="1:26" ht="15" customHeight="1" x14ac:dyDescent="0.25">
      <c r="A27" s="20">
        <v>22</v>
      </c>
      <c r="B27" s="21"/>
      <c r="C27" s="22"/>
      <c r="D27" s="27"/>
      <c r="E27" s="22"/>
      <c r="F27" s="28"/>
      <c r="G27" s="22"/>
      <c r="H27" s="28"/>
      <c r="I27" s="22"/>
      <c r="J27" s="28"/>
      <c r="K27" s="22"/>
      <c r="L27" s="28"/>
      <c r="M27" s="22"/>
      <c r="N27" s="28"/>
      <c r="O27" s="22"/>
      <c r="P27" s="28"/>
      <c r="Q27" s="22"/>
      <c r="R27" s="28"/>
      <c r="S27" s="29"/>
      <c r="T27" s="5"/>
      <c r="U27" s="5"/>
      <c r="V27" s="5"/>
      <c r="W27" s="5"/>
      <c r="X27" s="5"/>
      <c r="Y27" s="5"/>
      <c r="Z27" s="5"/>
    </row>
    <row r="28" spans="1:26" ht="15" customHeight="1" x14ac:dyDescent="0.25">
      <c r="A28" s="20">
        <v>23</v>
      </c>
      <c r="B28" s="21"/>
      <c r="C28" s="22"/>
      <c r="D28" s="27"/>
      <c r="E28" s="22"/>
      <c r="F28" s="28"/>
      <c r="G28" s="22"/>
      <c r="H28" s="28"/>
      <c r="I28" s="22"/>
      <c r="J28" s="28"/>
      <c r="K28" s="22"/>
      <c r="L28" s="28"/>
      <c r="M28" s="22"/>
      <c r="N28" s="28"/>
      <c r="O28" s="22"/>
      <c r="P28" s="28"/>
      <c r="Q28" s="22"/>
      <c r="R28" s="28"/>
      <c r="S28" s="29"/>
      <c r="T28" s="5"/>
      <c r="U28" s="5"/>
      <c r="V28" s="5"/>
      <c r="W28" s="5"/>
      <c r="X28" s="5"/>
      <c r="Y28" s="5"/>
      <c r="Z28" s="5"/>
    </row>
    <row r="29" spans="1:26" ht="15" customHeight="1" x14ac:dyDescent="0.25">
      <c r="A29" s="20">
        <v>24</v>
      </c>
      <c r="B29" s="21"/>
      <c r="C29" s="22"/>
      <c r="D29" s="27"/>
      <c r="E29" s="22"/>
      <c r="F29" s="28"/>
      <c r="G29" s="22"/>
      <c r="H29" s="28"/>
      <c r="I29" s="22"/>
      <c r="J29" s="28"/>
      <c r="K29" s="22"/>
      <c r="L29" s="28"/>
      <c r="M29" s="22"/>
      <c r="N29" s="28"/>
      <c r="O29" s="22"/>
      <c r="P29" s="28"/>
      <c r="Q29" s="22"/>
      <c r="R29" s="28"/>
      <c r="S29" s="29"/>
      <c r="T29" s="5"/>
      <c r="U29" s="5"/>
      <c r="V29" s="5"/>
      <c r="W29" s="5"/>
      <c r="X29" s="5"/>
      <c r="Y29" s="5"/>
      <c r="Z29" s="5"/>
    </row>
    <row r="30" spans="1:26" ht="15" customHeight="1" x14ac:dyDescent="0.25">
      <c r="A30" s="20">
        <v>25</v>
      </c>
      <c r="B30" s="21"/>
      <c r="C30" s="22"/>
      <c r="D30" s="27"/>
      <c r="E30" s="22"/>
      <c r="F30" s="28"/>
      <c r="G30" s="22"/>
      <c r="H30" s="28"/>
      <c r="I30" s="22"/>
      <c r="J30" s="28"/>
      <c r="K30" s="22"/>
      <c r="L30" s="28"/>
      <c r="M30" s="22"/>
      <c r="N30" s="28"/>
      <c r="O30" s="22"/>
      <c r="P30" s="28"/>
      <c r="Q30" s="22"/>
      <c r="R30" s="28"/>
      <c r="S30" s="29"/>
      <c r="T30" s="5"/>
      <c r="U30" s="5"/>
      <c r="V30" s="5"/>
      <c r="W30" s="5"/>
      <c r="X30" s="5"/>
      <c r="Y30" s="5"/>
      <c r="Z30" s="5"/>
    </row>
    <row r="31" spans="1:26" ht="15" customHeight="1" x14ac:dyDescent="0.25">
      <c r="A31" s="20">
        <v>26</v>
      </c>
      <c r="B31" s="21"/>
      <c r="C31" s="22"/>
      <c r="D31" s="27"/>
      <c r="E31" s="22"/>
      <c r="F31" s="28"/>
      <c r="G31" s="22"/>
      <c r="H31" s="28"/>
      <c r="I31" s="22"/>
      <c r="J31" s="28"/>
      <c r="K31" s="22"/>
      <c r="L31" s="28"/>
      <c r="M31" s="22"/>
      <c r="N31" s="28"/>
      <c r="O31" s="22"/>
      <c r="P31" s="28"/>
      <c r="Q31" s="22"/>
      <c r="R31" s="28"/>
      <c r="S31" s="29"/>
      <c r="T31" s="5"/>
      <c r="U31" s="5"/>
      <c r="V31" s="5"/>
      <c r="W31" s="5"/>
      <c r="X31" s="5"/>
      <c r="Y31" s="5"/>
      <c r="Z31" s="5"/>
    </row>
    <row r="32" spans="1:26" ht="15" customHeight="1" x14ac:dyDescent="0.25">
      <c r="A32" s="20">
        <v>27</v>
      </c>
      <c r="B32" s="21"/>
      <c r="C32" s="22"/>
      <c r="D32" s="27"/>
      <c r="E32" s="22"/>
      <c r="F32" s="28"/>
      <c r="G32" s="22"/>
      <c r="H32" s="28"/>
      <c r="I32" s="22"/>
      <c r="J32" s="28"/>
      <c r="K32" s="22"/>
      <c r="L32" s="28"/>
      <c r="M32" s="22"/>
      <c r="N32" s="28"/>
      <c r="O32" s="22"/>
      <c r="P32" s="28"/>
      <c r="Q32" s="22"/>
      <c r="R32" s="28"/>
      <c r="S32" s="29"/>
      <c r="T32" s="5"/>
      <c r="U32" s="5"/>
      <c r="V32" s="5"/>
      <c r="W32" s="5"/>
      <c r="X32" s="5"/>
      <c r="Y32" s="5"/>
      <c r="Z32" s="5"/>
    </row>
    <row r="33" spans="1:26" ht="15" customHeight="1" x14ac:dyDescent="0.25">
      <c r="A33" s="20">
        <v>28</v>
      </c>
      <c r="B33" s="21"/>
      <c r="C33" s="22"/>
      <c r="D33" s="27"/>
      <c r="E33" s="22"/>
      <c r="F33" s="28"/>
      <c r="G33" s="22"/>
      <c r="H33" s="28"/>
      <c r="I33" s="22"/>
      <c r="J33" s="28"/>
      <c r="K33" s="22"/>
      <c r="L33" s="28"/>
      <c r="M33" s="22"/>
      <c r="N33" s="28"/>
      <c r="O33" s="22"/>
      <c r="P33" s="28"/>
      <c r="Q33" s="22"/>
      <c r="R33" s="28"/>
      <c r="S33" s="29"/>
      <c r="T33" s="5"/>
      <c r="U33" s="5"/>
      <c r="V33" s="5"/>
      <c r="W33" s="5"/>
      <c r="X33" s="5"/>
      <c r="Y33" s="5"/>
      <c r="Z33" s="5"/>
    </row>
    <row r="34" spans="1:26" ht="15" customHeight="1" x14ac:dyDescent="0.25">
      <c r="A34" s="20">
        <v>29</v>
      </c>
      <c r="B34" s="21"/>
      <c r="C34" s="22"/>
      <c r="D34" s="27"/>
      <c r="E34" s="22"/>
      <c r="F34" s="28"/>
      <c r="G34" s="22"/>
      <c r="H34" s="28"/>
      <c r="I34" s="22"/>
      <c r="J34" s="28"/>
      <c r="K34" s="22"/>
      <c r="L34" s="28"/>
      <c r="M34" s="22"/>
      <c r="N34" s="28"/>
      <c r="O34" s="22"/>
      <c r="P34" s="28"/>
      <c r="Q34" s="22"/>
      <c r="R34" s="28"/>
      <c r="S34" s="29"/>
      <c r="T34" s="5"/>
      <c r="U34" s="5"/>
      <c r="V34" s="5"/>
      <c r="W34" s="5"/>
      <c r="X34" s="5"/>
      <c r="Y34" s="5"/>
      <c r="Z34" s="5"/>
    </row>
    <row r="35" spans="1:26" ht="15" customHeight="1" x14ac:dyDescent="0.25">
      <c r="A35" s="20">
        <v>30</v>
      </c>
      <c r="B35" s="21"/>
      <c r="C35" s="22"/>
      <c r="D35" s="27"/>
      <c r="E35" s="22"/>
      <c r="F35" s="28"/>
      <c r="G35" s="22"/>
      <c r="H35" s="28"/>
      <c r="I35" s="22"/>
      <c r="J35" s="28"/>
      <c r="K35" s="22"/>
      <c r="L35" s="28"/>
      <c r="M35" s="22"/>
      <c r="N35" s="28"/>
      <c r="O35" s="22"/>
      <c r="P35" s="28"/>
      <c r="Q35" s="22"/>
      <c r="R35" s="28"/>
      <c r="S35" s="29"/>
      <c r="T35" s="5"/>
      <c r="U35" s="5"/>
      <c r="V35" s="5"/>
      <c r="W35" s="5"/>
      <c r="X35" s="5"/>
      <c r="Y35" s="5"/>
      <c r="Z35" s="5"/>
    </row>
    <row r="36" spans="1:26" ht="15" customHeight="1" x14ac:dyDescent="0.25">
      <c r="A36" s="20">
        <v>31</v>
      </c>
      <c r="B36" s="21"/>
      <c r="C36" s="22"/>
      <c r="D36" s="30"/>
      <c r="E36" s="31"/>
      <c r="F36" s="32"/>
      <c r="G36" s="31"/>
      <c r="H36" s="32"/>
      <c r="I36" s="31"/>
      <c r="J36" s="32"/>
      <c r="K36" s="31"/>
      <c r="L36" s="32"/>
      <c r="M36" s="31"/>
      <c r="N36" s="32"/>
      <c r="O36" s="31"/>
      <c r="P36" s="32"/>
      <c r="Q36" s="31"/>
      <c r="R36" s="32"/>
      <c r="S36" s="33"/>
      <c r="T36" s="5"/>
      <c r="U36" s="5"/>
      <c r="V36" s="5"/>
      <c r="W36" s="5"/>
      <c r="X36" s="5"/>
      <c r="Y36" s="5"/>
      <c r="Z36" s="5"/>
    </row>
    <row r="37" spans="1:26" ht="15" customHeight="1" x14ac:dyDescent="0.25">
      <c r="A37" s="93" t="s">
        <v>16</v>
      </c>
      <c r="B37" s="94"/>
      <c r="C37" s="95"/>
      <c r="D37" s="34" t="str">
        <f>IF(ISBLANK($P$1)," ",AVERAGE(D6:D36))</f>
        <v xml:space="preserve"> </v>
      </c>
      <c r="E37" s="35" t="str">
        <f t="shared" ref="E37:S37" si="0">IF(ISBLANK($C$1)," ", IF(COUNT(E45:E75)=0, " ", IF(E$4="pH"," ", IF(E$4="Fecal Coliform", GEOMEAN(E76:E106), IF(E$4="Total Coliform", GEOMEAN(E76:E106), AVERAGE(E45:E75))))))</f>
        <v xml:space="preserve"> </v>
      </c>
      <c r="F37" s="36" t="str">
        <f t="shared" si="0"/>
        <v xml:space="preserve"> </v>
      </c>
      <c r="G37" s="35" t="str">
        <f t="shared" si="0"/>
        <v xml:space="preserve"> </v>
      </c>
      <c r="H37" s="36" t="str">
        <f t="shared" si="0"/>
        <v xml:space="preserve"> </v>
      </c>
      <c r="I37" s="35" t="str">
        <f t="shared" si="0"/>
        <v xml:space="preserve"> </v>
      </c>
      <c r="J37" s="36" t="str">
        <f t="shared" si="0"/>
        <v xml:space="preserve"> </v>
      </c>
      <c r="K37" s="35" t="str">
        <f t="shared" si="0"/>
        <v xml:space="preserve"> </v>
      </c>
      <c r="L37" s="36" t="str">
        <f t="shared" si="0"/>
        <v xml:space="preserve"> </v>
      </c>
      <c r="M37" s="35" t="str">
        <f t="shared" si="0"/>
        <v xml:space="preserve"> </v>
      </c>
      <c r="N37" s="36" t="str">
        <f t="shared" si="0"/>
        <v xml:space="preserve"> </v>
      </c>
      <c r="O37" s="35" t="str">
        <f t="shared" si="0"/>
        <v xml:space="preserve"> </v>
      </c>
      <c r="P37" s="36" t="str">
        <f t="shared" si="0"/>
        <v xml:space="preserve"> </v>
      </c>
      <c r="Q37" s="35" t="str">
        <f t="shared" si="0"/>
        <v xml:space="preserve"> </v>
      </c>
      <c r="R37" s="36" t="str">
        <f t="shared" si="0"/>
        <v xml:space="preserve"> </v>
      </c>
      <c r="S37" s="37" t="str">
        <f t="shared" si="0"/>
        <v xml:space="preserve"> </v>
      </c>
      <c r="T37" s="5"/>
      <c r="U37" s="5"/>
      <c r="V37" s="5"/>
      <c r="W37" s="5"/>
      <c r="X37" s="5"/>
      <c r="Y37" s="5"/>
      <c r="Z37" s="5"/>
    </row>
    <row r="38" spans="1:26" ht="15" customHeight="1" x14ac:dyDescent="0.25">
      <c r="A38" s="85" t="s">
        <v>17</v>
      </c>
      <c r="B38" s="86"/>
      <c r="C38" s="87"/>
      <c r="D38" s="38" t="str">
        <f>IF(ISBLANK($P$1)," ",MAX(D6:D36))</f>
        <v xml:space="preserve"> </v>
      </c>
      <c r="E38" s="39" t="str">
        <f t="shared" ref="E38:S38" si="1">IF(ISBLANK($C$1)," ", IF(COUNT(E45:E75)=0, " ",  MAX(E107:E137)))</f>
        <v xml:space="preserve"> </v>
      </c>
      <c r="F38" s="40" t="str">
        <f t="shared" si="1"/>
        <v xml:space="preserve"> </v>
      </c>
      <c r="G38" s="39" t="str">
        <f t="shared" si="1"/>
        <v xml:space="preserve"> </v>
      </c>
      <c r="H38" s="40" t="str">
        <f t="shared" si="1"/>
        <v xml:space="preserve"> </v>
      </c>
      <c r="I38" s="39" t="str">
        <f t="shared" si="1"/>
        <v xml:space="preserve"> </v>
      </c>
      <c r="J38" s="40" t="str">
        <f t="shared" si="1"/>
        <v xml:space="preserve"> </v>
      </c>
      <c r="K38" s="39" t="str">
        <f t="shared" si="1"/>
        <v xml:space="preserve"> </v>
      </c>
      <c r="L38" s="40" t="str">
        <f t="shared" si="1"/>
        <v xml:space="preserve"> </v>
      </c>
      <c r="M38" s="39" t="str">
        <f t="shared" si="1"/>
        <v xml:space="preserve"> </v>
      </c>
      <c r="N38" s="40" t="str">
        <f t="shared" si="1"/>
        <v xml:space="preserve"> </v>
      </c>
      <c r="O38" s="39" t="str">
        <f t="shared" si="1"/>
        <v xml:space="preserve"> </v>
      </c>
      <c r="P38" s="40" t="str">
        <f t="shared" si="1"/>
        <v xml:space="preserve"> </v>
      </c>
      <c r="Q38" s="39" t="str">
        <f t="shared" si="1"/>
        <v xml:space="preserve"> </v>
      </c>
      <c r="R38" s="40" t="str">
        <f t="shared" si="1"/>
        <v xml:space="preserve"> </v>
      </c>
      <c r="S38" s="41" t="str">
        <f t="shared" si="1"/>
        <v xml:space="preserve"> </v>
      </c>
      <c r="T38" s="5"/>
      <c r="U38" s="5"/>
      <c r="V38" s="5"/>
      <c r="W38" s="5"/>
      <c r="X38" s="5"/>
      <c r="Y38" s="5"/>
      <c r="Z38" s="5"/>
    </row>
    <row r="39" spans="1:26" ht="15" customHeight="1" x14ac:dyDescent="0.25">
      <c r="A39" s="96" t="s">
        <v>18</v>
      </c>
      <c r="B39" s="97"/>
      <c r="C39" s="98"/>
      <c r="D39" s="42" t="str">
        <f>IF(ISBLANK($P$1)," ",MIN(D6:D36))</f>
        <v xml:space="preserve"> </v>
      </c>
      <c r="E39" s="43" t="str">
        <f t="shared" ref="E39:S39" si="2">IF(ISBLANK($C$1)," ", IF(COUNT(E45:E75)=0, " ",  MIN(E107:E137)))</f>
        <v xml:space="preserve"> </v>
      </c>
      <c r="F39" s="44" t="str">
        <f t="shared" si="2"/>
        <v xml:space="preserve"> </v>
      </c>
      <c r="G39" s="43" t="str">
        <f t="shared" si="2"/>
        <v xml:space="preserve"> </v>
      </c>
      <c r="H39" s="44" t="str">
        <f t="shared" si="2"/>
        <v xml:space="preserve"> </v>
      </c>
      <c r="I39" s="43" t="str">
        <f t="shared" si="2"/>
        <v xml:space="preserve"> </v>
      </c>
      <c r="J39" s="44" t="str">
        <f t="shared" si="2"/>
        <v xml:space="preserve"> </v>
      </c>
      <c r="K39" s="43" t="str">
        <f t="shared" si="2"/>
        <v xml:space="preserve"> </v>
      </c>
      <c r="L39" s="44" t="str">
        <f t="shared" si="2"/>
        <v xml:space="preserve"> </v>
      </c>
      <c r="M39" s="43" t="str">
        <f t="shared" si="2"/>
        <v xml:space="preserve"> </v>
      </c>
      <c r="N39" s="44" t="str">
        <f t="shared" si="2"/>
        <v xml:space="preserve"> </v>
      </c>
      <c r="O39" s="43" t="str">
        <f t="shared" si="2"/>
        <v xml:space="preserve"> </v>
      </c>
      <c r="P39" s="44" t="str">
        <f t="shared" si="2"/>
        <v xml:space="preserve"> </v>
      </c>
      <c r="Q39" s="43" t="str">
        <f t="shared" si="2"/>
        <v xml:space="preserve"> </v>
      </c>
      <c r="R39" s="44" t="str">
        <f t="shared" si="2"/>
        <v xml:space="preserve"> </v>
      </c>
      <c r="S39" s="45" t="str">
        <f t="shared" si="2"/>
        <v xml:space="preserve"> </v>
      </c>
      <c r="T39" s="5"/>
      <c r="U39" s="5"/>
      <c r="V39" s="5"/>
      <c r="W39" s="5"/>
      <c r="X39" s="5"/>
      <c r="Y39" s="5"/>
      <c r="Z39" s="5"/>
    </row>
    <row r="40" spans="1:26" ht="15" customHeight="1" x14ac:dyDescent="0.25">
      <c r="A40" s="93" t="s">
        <v>19</v>
      </c>
      <c r="B40" s="94"/>
      <c r="C40" s="95"/>
      <c r="D40" s="46"/>
      <c r="E40" s="47"/>
      <c r="F40" s="48"/>
      <c r="G40" s="47"/>
      <c r="H40" s="48"/>
      <c r="I40" s="47"/>
      <c r="J40" s="48"/>
      <c r="K40" s="47"/>
      <c r="L40" s="48"/>
      <c r="M40" s="47"/>
      <c r="N40" s="48"/>
      <c r="O40" s="47"/>
      <c r="P40" s="48"/>
      <c r="Q40" s="47"/>
      <c r="R40" s="48"/>
      <c r="S40" s="49"/>
      <c r="T40" s="5"/>
      <c r="U40" s="5"/>
      <c r="V40" s="5"/>
      <c r="W40" s="5"/>
      <c r="X40" s="5"/>
      <c r="Y40" s="5"/>
      <c r="Z40" s="5"/>
    </row>
    <row r="41" spans="1:26" ht="15" customHeight="1" x14ac:dyDescent="0.25">
      <c r="A41" s="85" t="s">
        <v>20</v>
      </c>
      <c r="B41" s="86"/>
      <c r="C41" s="87"/>
      <c r="D41" s="50"/>
      <c r="E41" s="22"/>
      <c r="F41" s="28"/>
      <c r="G41" s="22"/>
      <c r="H41" s="28"/>
      <c r="I41" s="22"/>
      <c r="J41" s="28"/>
      <c r="K41" s="22"/>
      <c r="L41" s="28"/>
      <c r="M41" s="22"/>
      <c r="N41" s="28"/>
      <c r="O41" s="22"/>
      <c r="P41" s="28"/>
      <c r="Q41" s="22"/>
      <c r="R41" s="28"/>
      <c r="S41" s="29"/>
      <c r="T41" s="5"/>
      <c r="U41" s="5"/>
      <c r="V41" s="5"/>
      <c r="W41" s="5"/>
      <c r="X41" s="5"/>
      <c r="Y41" s="5"/>
      <c r="Z41" s="5"/>
    </row>
    <row r="42" spans="1:26" ht="15" customHeight="1" x14ac:dyDescent="0.25">
      <c r="A42" s="85" t="s">
        <v>21</v>
      </c>
      <c r="B42" s="86"/>
      <c r="C42" s="87"/>
      <c r="D42" s="50"/>
      <c r="E42" s="22"/>
      <c r="F42" s="28"/>
      <c r="G42" s="22"/>
      <c r="H42" s="28"/>
      <c r="I42" s="22"/>
      <c r="J42" s="28"/>
      <c r="K42" s="22"/>
      <c r="L42" s="28"/>
      <c r="M42" s="22"/>
      <c r="N42" s="28"/>
      <c r="O42" s="22"/>
      <c r="P42" s="28"/>
      <c r="Q42" s="22"/>
      <c r="R42" s="28"/>
      <c r="S42" s="29"/>
      <c r="T42" s="5"/>
      <c r="U42" s="5"/>
      <c r="V42" s="5"/>
      <c r="W42" s="5"/>
      <c r="X42" s="5"/>
      <c r="Y42" s="5"/>
      <c r="Z42" s="5"/>
    </row>
    <row r="43" spans="1:26" ht="15" customHeight="1" x14ac:dyDescent="0.25">
      <c r="A43" s="85" t="s">
        <v>22</v>
      </c>
      <c r="B43" s="86"/>
      <c r="C43" s="87"/>
      <c r="D43" s="51"/>
      <c r="E43" s="52"/>
      <c r="F43" s="53"/>
      <c r="G43" s="52"/>
      <c r="H43" s="53"/>
      <c r="I43" s="52"/>
      <c r="J43" s="53"/>
      <c r="K43" s="52"/>
      <c r="L43" s="53"/>
      <c r="M43" s="52"/>
      <c r="N43" s="53"/>
      <c r="O43" s="52"/>
      <c r="P43" s="53"/>
      <c r="Q43" s="52"/>
      <c r="R43" s="53"/>
      <c r="S43" s="54"/>
      <c r="T43" s="5"/>
      <c r="U43" s="5"/>
      <c r="V43" s="5"/>
      <c r="W43" s="5"/>
      <c r="X43" s="5"/>
      <c r="Y43" s="5"/>
      <c r="Z43" s="5"/>
    </row>
    <row r="44" spans="1:26" ht="12"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 hidden="1" customHeight="1" x14ac:dyDescent="0.25">
      <c r="A45" s="5"/>
      <c r="B45" s="5"/>
      <c r="C45" s="5" t="s">
        <v>23</v>
      </c>
      <c r="D45" s="5"/>
      <c r="E45" s="55" t="str">
        <f t="shared" ref="E45:S45" si="3">IF(ISBLANK(E6), " ",IF(ISTEXT(E6),0,E6))</f>
        <v xml:space="preserve"> </v>
      </c>
      <c r="F45" s="55" t="str">
        <f t="shared" si="3"/>
        <v xml:space="preserve"> </v>
      </c>
      <c r="G45" s="55" t="str">
        <f t="shared" si="3"/>
        <v xml:space="preserve"> </v>
      </c>
      <c r="H45" s="55" t="str">
        <f t="shared" si="3"/>
        <v xml:space="preserve"> </v>
      </c>
      <c r="I45" s="55" t="str">
        <f t="shared" si="3"/>
        <v xml:space="preserve"> </v>
      </c>
      <c r="J45" s="55" t="str">
        <f t="shared" si="3"/>
        <v xml:space="preserve"> </v>
      </c>
      <c r="K45" s="55" t="str">
        <f t="shared" si="3"/>
        <v xml:space="preserve"> </v>
      </c>
      <c r="L45" s="55" t="str">
        <f t="shared" si="3"/>
        <v xml:space="preserve"> </v>
      </c>
      <c r="M45" s="55" t="str">
        <f t="shared" si="3"/>
        <v xml:space="preserve"> </v>
      </c>
      <c r="N45" s="55" t="str">
        <f t="shared" si="3"/>
        <v xml:space="preserve"> </v>
      </c>
      <c r="O45" s="55" t="str">
        <f t="shared" si="3"/>
        <v xml:space="preserve"> </v>
      </c>
      <c r="P45" s="55" t="str">
        <f t="shared" si="3"/>
        <v xml:space="preserve"> </v>
      </c>
      <c r="Q45" s="55" t="str">
        <f t="shared" si="3"/>
        <v xml:space="preserve"> </v>
      </c>
      <c r="R45" s="55" t="str">
        <f t="shared" si="3"/>
        <v xml:space="preserve"> </v>
      </c>
      <c r="S45" s="55" t="str">
        <f t="shared" si="3"/>
        <v xml:space="preserve"> </v>
      </c>
      <c r="T45" s="5"/>
      <c r="U45" s="5"/>
      <c r="V45" s="5"/>
      <c r="W45" s="5"/>
      <c r="X45" s="5"/>
      <c r="Y45" s="5"/>
      <c r="Z45" s="5"/>
    </row>
    <row r="46" spans="1:26" ht="12" hidden="1" customHeight="1" x14ac:dyDescent="0.25">
      <c r="A46" s="5"/>
      <c r="B46" s="5"/>
      <c r="C46" s="5"/>
      <c r="D46" s="5"/>
      <c r="E46" s="55" t="str">
        <f t="shared" ref="E46:S46" si="4">IF(ISBLANK(E7), " ",IF(ISTEXT(E7),0,E7))</f>
        <v xml:space="preserve"> </v>
      </c>
      <c r="F46" s="55" t="str">
        <f t="shared" si="4"/>
        <v xml:space="preserve"> </v>
      </c>
      <c r="G46" s="55" t="str">
        <f t="shared" si="4"/>
        <v xml:space="preserve"> </v>
      </c>
      <c r="H46" s="55" t="str">
        <f t="shared" si="4"/>
        <v xml:space="preserve"> </v>
      </c>
      <c r="I46" s="55" t="str">
        <f t="shared" si="4"/>
        <v xml:space="preserve"> </v>
      </c>
      <c r="J46" s="55" t="str">
        <f t="shared" si="4"/>
        <v xml:space="preserve"> </v>
      </c>
      <c r="K46" s="55" t="str">
        <f t="shared" si="4"/>
        <v xml:space="preserve"> </v>
      </c>
      <c r="L46" s="55" t="str">
        <f t="shared" si="4"/>
        <v xml:space="preserve"> </v>
      </c>
      <c r="M46" s="55" t="str">
        <f t="shared" si="4"/>
        <v xml:space="preserve"> </v>
      </c>
      <c r="N46" s="55" t="str">
        <f t="shared" si="4"/>
        <v xml:space="preserve"> </v>
      </c>
      <c r="O46" s="55" t="str">
        <f t="shared" si="4"/>
        <v xml:space="preserve"> </v>
      </c>
      <c r="P46" s="55" t="str">
        <f t="shared" si="4"/>
        <v xml:space="preserve"> </v>
      </c>
      <c r="Q46" s="55" t="str">
        <f t="shared" si="4"/>
        <v xml:space="preserve"> </v>
      </c>
      <c r="R46" s="55" t="str">
        <f t="shared" si="4"/>
        <v xml:space="preserve"> </v>
      </c>
      <c r="S46" s="55" t="str">
        <f t="shared" si="4"/>
        <v xml:space="preserve"> </v>
      </c>
      <c r="T46" s="5"/>
      <c r="U46" s="5"/>
      <c r="V46" s="5"/>
      <c r="W46" s="5"/>
      <c r="X46" s="5"/>
      <c r="Y46" s="5"/>
      <c r="Z46" s="5"/>
    </row>
    <row r="47" spans="1:26" ht="12" hidden="1" customHeight="1" x14ac:dyDescent="0.25">
      <c r="A47" s="5"/>
      <c r="B47" s="5"/>
      <c r="C47" s="5"/>
      <c r="D47" s="5"/>
      <c r="E47" s="55" t="str">
        <f t="shared" ref="E47:S47" si="5">IF(ISBLANK(E8), " ",IF(ISTEXT(E8),0,E8))</f>
        <v xml:space="preserve"> </v>
      </c>
      <c r="F47" s="55" t="str">
        <f t="shared" si="5"/>
        <v xml:space="preserve"> </v>
      </c>
      <c r="G47" s="55" t="str">
        <f t="shared" si="5"/>
        <v xml:space="preserve"> </v>
      </c>
      <c r="H47" s="55" t="str">
        <f t="shared" si="5"/>
        <v xml:space="preserve"> </v>
      </c>
      <c r="I47" s="55" t="str">
        <f t="shared" si="5"/>
        <v xml:space="preserve"> </v>
      </c>
      <c r="J47" s="55" t="str">
        <f t="shared" si="5"/>
        <v xml:space="preserve"> </v>
      </c>
      <c r="K47" s="55" t="str">
        <f t="shared" si="5"/>
        <v xml:space="preserve"> </v>
      </c>
      <c r="L47" s="55" t="str">
        <f t="shared" si="5"/>
        <v xml:space="preserve"> </v>
      </c>
      <c r="M47" s="55" t="str">
        <f t="shared" si="5"/>
        <v xml:space="preserve"> </v>
      </c>
      <c r="N47" s="55" t="str">
        <f t="shared" si="5"/>
        <v xml:space="preserve"> </v>
      </c>
      <c r="O47" s="55" t="str">
        <f t="shared" si="5"/>
        <v xml:space="preserve"> </v>
      </c>
      <c r="P47" s="55" t="str">
        <f t="shared" si="5"/>
        <v xml:space="preserve"> </v>
      </c>
      <c r="Q47" s="55" t="str">
        <f t="shared" si="5"/>
        <v xml:space="preserve"> </v>
      </c>
      <c r="R47" s="55" t="str">
        <f t="shared" si="5"/>
        <v xml:space="preserve"> </v>
      </c>
      <c r="S47" s="55" t="str">
        <f t="shared" si="5"/>
        <v xml:space="preserve"> </v>
      </c>
      <c r="T47" s="5"/>
      <c r="U47" s="5"/>
      <c r="V47" s="5"/>
      <c r="W47" s="5"/>
      <c r="X47" s="5"/>
      <c r="Y47" s="5"/>
      <c r="Z47" s="5"/>
    </row>
    <row r="48" spans="1:26" ht="12" hidden="1" customHeight="1" x14ac:dyDescent="0.25">
      <c r="A48" s="5"/>
      <c r="B48" s="5"/>
      <c r="C48" s="5"/>
      <c r="D48" s="5"/>
      <c r="E48" s="55" t="str">
        <f t="shared" ref="E48:S48" si="6">IF(ISBLANK(E9), " ",IF(ISTEXT(E9),0,E9))</f>
        <v xml:space="preserve"> </v>
      </c>
      <c r="F48" s="55" t="str">
        <f t="shared" si="6"/>
        <v xml:space="preserve"> </v>
      </c>
      <c r="G48" s="55" t="str">
        <f t="shared" si="6"/>
        <v xml:space="preserve"> </v>
      </c>
      <c r="H48" s="55" t="str">
        <f t="shared" si="6"/>
        <v xml:space="preserve"> </v>
      </c>
      <c r="I48" s="55" t="str">
        <f t="shared" si="6"/>
        <v xml:space="preserve"> </v>
      </c>
      <c r="J48" s="55" t="str">
        <f t="shared" si="6"/>
        <v xml:space="preserve"> </v>
      </c>
      <c r="K48" s="55" t="str">
        <f t="shared" si="6"/>
        <v xml:space="preserve"> </v>
      </c>
      <c r="L48" s="55" t="str">
        <f t="shared" si="6"/>
        <v xml:space="preserve"> </v>
      </c>
      <c r="M48" s="55" t="str">
        <f t="shared" si="6"/>
        <v xml:space="preserve"> </v>
      </c>
      <c r="N48" s="55" t="str">
        <f t="shared" si="6"/>
        <v xml:space="preserve"> </v>
      </c>
      <c r="O48" s="55" t="str">
        <f t="shared" si="6"/>
        <v xml:space="preserve"> </v>
      </c>
      <c r="P48" s="55" t="str">
        <f t="shared" si="6"/>
        <v xml:space="preserve"> </v>
      </c>
      <c r="Q48" s="55" t="str">
        <f t="shared" si="6"/>
        <v xml:space="preserve"> </v>
      </c>
      <c r="R48" s="55" t="str">
        <f t="shared" si="6"/>
        <v xml:space="preserve"> </v>
      </c>
      <c r="S48" s="55" t="str">
        <f t="shared" si="6"/>
        <v xml:space="preserve"> </v>
      </c>
      <c r="T48" s="5"/>
      <c r="U48" s="5"/>
      <c r="V48" s="5"/>
      <c r="W48" s="5"/>
      <c r="X48" s="5"/>
      <c r="Y48" s="5"/>
      <c r="Z48" s="5"/>
    </row>
    <row r="49" spans="1:26" ht="12" hidden="1" customHeight="1" x14ac:dyDescent="0.25">
      <c r="A49" s="5"/>
      <c r="B49" s="5"/>
      <c r="C49" s="5"/>
      <c r="D49" s="5"/>
      <c r="E49" s="55" t="str">
        <f t="shared" ref="E49:S49" si="7">IF(ISBLANK(E10), " ",IF(ISTEXT(E10),0,E10))</f>
        <v xml:space="preserve"> </v>
      </c>
      <c r="F49" s="55" t="str">
        <f t="shared" si="7"/>
        <v xml:space="preserve"> </v>
      </c>
      <c r="G49" s="55" t="str">
        <f t="shared" si="7"/>
        <v xml:space="preserve"> </v>
      </c>
      <c r="H49" s="55" t="str">
        <f t="shared" si="7"/>
        <v xml:space="preserve"> </v>
      </c>
      <c r="I49" s="55" t="str">
        <f t="shared" si="7"/>
        <v xml:space="preserve"> </v>
      </c>
      <c r="J49" s="55" t="str">
        <f t="shared" si="7"/>
        <v xml:space="preserve"> </v>
      </c>
      <c r="K49" s="55" t="str">
        <f t="shared" si="7"/>
        <v xml:space="preserve"> </v>
      </c>
      <c r="L49" s="55" t="str">
        <f t="shared" si="7"/>
        <v xml:space="preserve"> </v>
      </c>
      <c r="M49" s="55" t="str">
        <f t="shared" si="7"/>
        <v xml:space="preserve"> </v>
      </c>
      <c r="N49" s="55" t="str">
        <f t="shared" si="7"/>
        <v xml:space="preserve"> </v>
      </c>
      <c r="O49" s="55" t="str">
        <f t="shared" si="7"/>
        <v xml:space="preserve"> </v>
      </c>
      <c r="P49" s="55" t="str">
        <f t="shared" si="7"/>
        <v xml:space="preserve"> </v>
      </c>
      <c r="Q49" s="55" t="str">
        <f t="shared" si="7"/>
        <v xml:space="preserve"> </v>
      </c>
      <c r="R49" s="55" t="str">
        <f t="shared" si="7"/>
        <v xml:space="preserve"> </v>
      </c>
      <c r="S49" s="55" t="str">
        <f t="shared" si="7"/>
        <v xml:space="preserve"> </v>
      </c>
      <c r="T49" s="5"/>
      <c r="U49" s="5"/>
      <c r="V49" s="5"/>
      <c r="W49" s="5"/>
      <c r="X49" s="5"/>
      <c r="Y49" s="5"/>
      <c r="Z49" s="5"/>
    </row>
    <row r="50" spans="1:26" ht="12" hidden="1" customHeight="1" x14ac:dyDescent="0.25">
      <c r="A50" s="5"/>
      <c r="B50" s="5"/>
      <c r="C50" s="5"/>
      <c r="D50" s="5"/>
      <c r="E50" s="55" t="str">
        <f t="shared" ref="E50:S50" si="8">IF(ISBLANK(E11), " ",IF(ISTEXT(E11),0,E11))</f>
        <v xml:space="preserve"> </v>
      </c>
      <c r="F50" s="55" t="str">
        <f t="shared" si="8"/>
        <v xml:space="preserve"> </v>
      </c>
      <c r="G50" s="55" t="str">
        <f t="shared" si="8"/>
        <v xml:space="preserve"> </v>
      </c>
      <c r="H50" s="55" t="str">
        <f t="shared" si="8"/>
        <v xml:space="preserve"> </v>
      </c>
      <c r="I50" s="55" t="str">
        <f t="shared" si="8"/>
        <v xml:space="preserve"> </v>
      </c>
      <c r="J50" s="55" t="str">
        <f t="shared" si="8"/>
        <v xml:space="preserve"> </v>
      </c>
      <c r="K50" s="55" t="str">
        <f t="shared" si="8"/>
        <v xml:space="preserve"> </v>
      </c>
      <c r="L50" s="55" t="str">
        <f t="shared" si="8"/>
        <v xml:space="preserve"> </v>
      </c>
      <c r="M50" s="55" t="str">
        <f t="shared" si="8"/>
        <v xml:space="preserve"> </v>
      </c>
      <c r="N50" s="55" t="str">
        <f t="shared" si="8"/>
        <v xml:space="preserve"> </v>
      </c>
      <c r="O50" s="55" t="str">
        <f t="shared" si="8"/>
        <v xml:space="preserve"> </v>
      </c>
      <c r="P50" s="55" t="str">
        <f t="shared" si="8"/>
        <v xml:space="preserve"> </v>
      </c>
      <c r="Q50" s="55" t="str">
        <f t="shared" si="8"/>
        <v xml:space="preserve"> </v>
      </c>
      <c r="R50" s="55" t="str">
        <f t="shared" si="8"/>
        <v xml:space="preserve"> </v>
      </c>
      <c r="S50" s="55" t="str">
        <f t="shared" si="8"/>
        <v xml:space="preserve"> </v>
      </c>
      <c r="T50" s="5"/>
      <c r="U50" s="5"/>
      <c r="V50" s="5"/>
      <c r="W50" s="5"/>
      <c r="X50" s="5"/>
      <c r="Y50" s="5"/>
      <c r="Z50" s="5"/>
    </row>
    <row r="51" spans="1:26" ht="12" hidden="1" customHeight="1" x14ac:dyDescent="0.25">
      <c r="A51" s="5"/>
      <c r="B51" s="5"/>
      <c r="C51" s="5"/>
      <c r="D51" s="5"/>
      <c r="E51" s="55" t="str">
        <f t="shared" ref="E51:S51" si="9">IF(ISBLANK(E12), " ",IF(ISTEXT(E12),0,E12))</f>
        <v xml:space="preserve"> </v>
      </c>
      <c r="F51" s="55" t="str">
        <f t="shared" si="9"/>
        <v xml:space="preserve"> </v>
      </c>
      <c r="G51" s="55" t="str">
        <f t="shared" si="9"/>
        <v xml:space="preserve"> </v>
      </c>
      <c r="H51" s="55" t="str">
        <f t="shared" si="9"/>
        <v xml:space="preserve"> </v>
      </c>
      <c r="I51" s="55" t="str">
        <f t="shared" si="9"/>
        <v xml:space="preserve"> </v>
      </c>
      <c r="J51" s="55" t="str">
        <f t="shared" si="9"/>
        <v xml:space="preserve"> </v>
      </c>
      <c r="K51" s="55" t="str">
        <f t="shared" si="9"/>
        <v xml:space="preserve"> </v>
      </c>
      <c r="L51" s="55" t="str">
        <f t="shared" si="9"/>
        <v xml:space="preserve"> </v>
      </c>
      <c r="M51" s="55" t="str">
        <f t="shared" si="9"/>
        <v xml:space="preserve"> </v>
      </c>
      <c r="N51" s="55" t="str">
        <f t="shared" si="9"/>
        <v xml:space="preserve"> </v>
      </c>
      <c r="O51" s="55" t="str">
        <f t="shared" si="9"/>
        <v xml:space="preserve"> </v>
      </c>
      <c r="P51" s="55" t="str">
        <f t="shared" si="9"/>
        <v xml:space="preserve"> </v>
      </c>
      <c r="Q51" s="55" t="str">
        <f t="shared" si="9"/>
        <v xml:space="preserve"> </v>
      </c>
      <c r="R51" s="55" t="str">
        <f t="shared" si="9"/>
        <v xml:space="preserve"> </v>
      </c>
      <c r="S51" s="55" t="str">
        <f t="shared" si="9"/>
        <v xml:space="preserve"> </v>
      </c>
      <c r="T51" s="5"/>
      <c r="U51" s="5"/>
      <c r="V51" s="5"/>
      <c r="W51" s="5"/>
      <c r="X51" s="5"/>
      <c r="Y51" s="5"/>
      <c r="Z51" s="5"/>
    </row>
    <row r="52" spans="1:26" ht="12" hidden="1" customHeight="1" x14ac:dyDescent="0.25">
      <c r="A52" s="5"/>
      <c r="B52" s="5"/>
      <c r="C52" s="5"/>
      <c r="D52" s="5"/>
      <c r="E52" s="55" t="str">
        <f t="shared" ref="E52:S52" si="10">IF(ISBLANK(E13), " ",IF(ISTEXT(E13),0,E13))</f>
        <v xml:space="preserve"> </v>
      </c>
      <c r="F52" s="55" t="str">
        <f t="shared" si="10"/>
        <v xml:space="preserve"> </v>
      </c>
      <c r="G52" s="55" t="str">
        <f t="shared" si="10"/>
        <v xml:space="preserve"> </v>
      </c>
      <c r="H52" s="55" t="str">
        <f t="shared" si="10"/>
        <v xml:space="preserve"> </v>
      </c>
      <c r="I52" s="55" t="str">
        <f t="shared" si="10"/>
        <v xml:space="preserve"> </v>
      </c>
      <c r="J52" s="55" t="str">
        <f t="shared" si="10"/>
        <v xml:space="preserve"> </v>
      </c>
      <c r="K52" s="55" t="str">
        <f t="shared" si="10"/>
        <v xml:space="preserve"> </v>
      </c>
      <c r="L52" s="55" t="str">
        <f t="shared" si="10"/>
        <v xml:space="preserve"> </v>
      </c>
      <c r="M52" s="55" t="str">
        <f t="shared" si="10"/>
        <v xml:space="preserve"> </v>
      </c>
      <c r="N52" s="55" t="str">
        <f t="shared" si="10"/>
        <v xml:space="preserve"> </v>
      </c>
      <c r="O52" s="55" t="str">
        <f t="shared" si="10"/>
        <v xml:space="preserve"> </v>
      </c>
      <c r="P52" s="55" t="str">
        <f t="shared" si="10"/>
        <v xml:space="preserve"> </v>
      </c>
      <c r="Q52" s="55" t="str">
        <f t="shared" si="10"/>
        <v xml:space="preserve"> </v>
      </c>
      <c r="R52" s="55" t="str">
        <f t="shared" si="10"/>
        <v xml:space="preserve"> </v>
      </c>
      <c r="S52" s="55" t="str">
        <f t="shared" si="10"/>
        <v xml:space="preserve"> </v>
      </c>
      <c r="T52" s="5"/>
      <c r="U52" s="5"/>
      <c r="V52" s="5"/>
      <c r="W52" s="5"/>
      <c r="X52" s="5"/>
      <c r="Y52" s="5"/>
      <c r="Z52" s="5"/>
    </row>
    <row r="53" spans="1:26" ht="12" hidden="1" customHeight="1" x14ac:dyDescent="0.25">
      <c r="A53" s="5"/>
      <c r="B53" s="5"/>
      <c r="C53" s="5"/>
      <c r="D53" s="5"/>
      <c r="E53" s="55" t="str">
        <f t="shared" ref="E53:S53" si="11">IF(ISBLANK(E14), " ",IF(ISTEXT(E14),0,E14))</f>
        <v xml:space="preserve"> </v>
      </c>
      <c r="F53" s="55" t="str">
        <f t="shared" si="11"/>
        <v xml:space="preserve"> </v>
      </c>
      <c r="G53" s="55" t="str">
        <f t="shared" si="11"/>
        <v xml:space="preserve"> </v>
      </c>
      <c r="H53" s="55" t="str">
        <f t="shared" si="11"/>
        <v xml:space="preserve"> </v>
      </c>
      <c r="I53" s="55" t="str">
        <f t="shared" si="11"/>
        <v xml:space="preserve"> </v>
      </c>
      <c r="J53" s="55" t="str">
        <f t="shared" si="11"/>
        <v xml:space="preserve"> </v>
      </c>
      <c r="K53" s="55" t="str">
        <f t="shared" si="11"/>
        <v xml:space="preserve"> </v>
      </c>
      <c r="L53" s="55" t="str">
        <f t="shared" si="11"/>
        <v xml:space="preserve"> </v>
      </c>
      <c r="M53" s="55" t="str">
        <f t="shared" si="11"/>
        <v xml:space="preserve"> </v>
      </c>
      <c r="N53" s="55" t="str">
        <f t="shared" si="11"/>
        <v xml:space="preserve"> </v>
      </c>
      <c r="O53" s="55" t="str">
        <f t="shared" si="11"/>
        <v xml:space="preserve"> </v>
      </c>
      <c r="P53" s="55" t="str">
        <f t="shared" si="11"/>
        <v xml:space="preserve"> </v>
      </c>
      <c r="Q53" s="55" t="str">
        <f t="shared" si="11"/>
        <v xml:space="preserve"> </v>
      </c>
      <c r="R53" s="55" t="str">
        <f t="shared" si="11"/>
        <v xml:space="preserve"> </v>
      </c>
      <c r="S53" s="55" t="str">
        <f t="shared" si="11"/>
        <v xml:space="preserve"> </v>
      </c>
      <c r="T53" s="5"/>
      <c r="U53" s="5"/>
      <c r="V53" s="5"/>
      <c r="W53" s="5"/>
      <c r="X53" s="5"/>
      <c r="Y53" s="5"/>
      <c r="Z53" s="5"/>
    </row>
    <row r="54" spans="1:26" ht="12" hidden="1" customHeight="1" x14ac:dyDescent="0.25">
      <c r="A54" s="5"/>
      <c r="B54" s="5"/>
      <c r="C54" s="5"/>
      <c r="D54" s="5"/>
      <c r="E54" s="55" t="str">
        <f t="shared" ref="E54:S54" si="12">IF(ISBLANK(E15), " ",IF(ISTEXT(E15),0,E15))</f>
        <v xml:space="preserve"> </v>
      </c>
      <c r="F54" s="55" t="str">
        <f t="shared" si="12"/>
        <v xml:space="preserve"> </v>
      </c>
      <c r="G54" s="55" t="str">
        <f t="shared" si="12"/>
        <v xml:space="preserve"> </v>
      </c>
      <c r="H54" s="55" t="str">
        <f t="shared" si="12"/>
        <v xml:space="preserve"> </v>
      </c>
      <c r="I54" s="55" t="str">
        <f t="shared" si="12"/>
        <v xml:space="preserve"> </v>
      </c>
      <c r="J54" s="55" t="str">
        <f t="shared" si="12"/>
        <v xml:space="preserve"> </v>
      </c>
      <c r="K54" s="55" t="str">
        <f t="shared" si="12"/>
        <v xml:space="preserve"> </v>
      </c>
      <c r="L54" s="55" t="str">
        <f t="shared" si="12"/>
        <v xml:space="preserve"> </v>
      </c>
      <c r="M54" s="55" t="str">
        <f t="shared" si="12"/>
        <v xml:space="preserve"> </v>
      </c>
      <c r="N54" s="55" t="str">
        <f t="shared" si="12"/>
        <v xml:space="preserve"> </v>
      </c>
      <c r="O54" s="55" t="str">
        <f t="shared" si="12"/>
        <v xml:space="preserve"> </v>
      </c>
      <c r="P54" s="55" t="str">
        <f t="shared" si="12"/>
        <v xml:space="preserve"> </v>
      </c>
      <c r="Q54" s="55" t="str">
        <f t="shared" si="12"/>
        <v xml:space="preserve"> </v>
      </c>
      <c r="R54" s="55" t="str">
        <f t="shared" si="12"/>
        <v xml:space="preserve"> </v>
      </c>
      <c r="S54" s="55" t="str">
        <f t="shared" si="12"/>
        <v xml:space="preserve"> </v>
      </c>
      <c r="T54" s="5"/>
      <c r="U54" s="5"/>
      <c r="V54" s="5"/>
      <c r="W54" s="5"/>
      <c r="X54" s="5"/>
      <c r="Y54" s="5"/>
      <c r="Z54" s="5"/>
    </row>
    <row r="55" spans="1:26" ht="12" hidden="1" customHeight="1" x14ac:dyDescent="0.25">
      <c r="A55" s="5"/>
      <c r="B55" s="5"/>
      <c r="C55" s="5"/>
      <c r="D55" s="5"/>
      <c r="E55" s="55" t="str">
        <f t="shared" ref="E55:S55" si="13">IF(ISBLANK(E16), " ",IF(ISTEXT(E16),0,E16))</f>
        <v xml:space="preserve"> </v>
      </c>
      <c r="F55" s="55" t="str">
        <f t="shared" si="13"/>
        <v xml:space="preserve"> </v>
      </c>
      <c r="G55" s="55" t="str">
        <f t="shared" si="13"/>
        <v xml:space="preserve"> </v>
      </c>
      <c r="H55" s="55" t="str">
        <f t="shared" si="13"/>
        <v xml:space="preserve"> </v>
      </c>
      <c r="I55" s="55" t="str">
        <f t="shared" si="13"/>
        <v xml:space="preserve"> </v>
      </c>
      <c r="J55" s="55" t="str">
        <f t="shared" si="13"/>
        <v xml:space="preserve"> </v>
      </c>
      <c r="K55" s="55" t="str">
        <f t="shared" si="13"/>
        <v xml:space="preserve"> </v>
      </c>
      <c r="L55" s="55" t="str">
        <f t="shared" si="13"/>
        <v xml:space="preserve"> </v>
      </c>
      <c r="M55" s="55" t="str">
        <f t="shared" si="13"/>
        <v xml:space="preserve"> </v>
      </c>
      <c r="N55" s="55" t="str">
        <f t="shared" si="13"/>
        <v xml:space="preserve"> </v>
      </c>
      <c r="O55" s="55" t="str">
        <f t="shared" si="13"/>
        <v xml:space="preserve"> </v>
      </c>
      <c r="P55" s="55" t="str">
        <f t="shared" si="13"/>
        <v xml:space="preserve"> </v>
      </c>
      <c r="Q55" s="55" t="str">
        <f t="shared" si="13"/>
        <v xml:space="preserve"> </v>
      </c>
      <c r="R55" s="55" t="str">
        <f t="shared" si="13"/>
        <v xml:space="preserve"> </v>
      </c>
      <c r="S55" s="55" t="str">
        <f t="shared" si="13"/>
        <v xml:space="preserve"> </v>
      </c>
      <c r="T55" s="5"/>
      <c r="U55" s="5"/>
      <c r="V55" s="5"/>
      <c r="W55" s="5"/>
      <c r="X55" s="5"/>
      <c r="Y55" s="5"/>
      <c r="Z55" s="5"/>
    </row>
    <row r="56" spans="1:26" ht="12" hidden="1" customHeight="1" x14ac:dyDescent="0.25">
      <c r="A56" s="5"/>
      <c r="B56" s="5"/>
      <c r="C56" s="5"/>
      <c r="D56" s="5"/>
      <c r="E56" s="55" t="str">
        <f t="shared" ref="E56:S56" si="14">IF(ISBLANK(E17), " ",IF(ISTEXT(E17),0,E17))</f>
        <v xml:space="preserve"> </v>
      </c>
      <c r="F56" s="55" t="str">
        <f t="shared" si="14"/>
        <v xml:space="preserve"> </v>
      </c>
      <c r="G56" s="55" t="str">
        <f t="shared" si="14"/>
        <v xml:space="preserve"> </v>
      </c>
      <c r="H56" s="55" t="str">
        <f t="shared" si="14"/>
        <v xml:space="preserve"> </v>
      </c>
      <c r="I56" s="55" t="str">
        <f t="shared" si="14"/>
        <v xml:space="preserve"> </v>
      </c>
      <c r="J56" s="55" t="str">
        <f t="shared" si="14"/>
        <v xml:space="preserve"> </v>
      </c>
      <c r="K56" s="55" t="str">
        <f t="shared" si="14"/>
        <v xml:space="preserve"> </v>
      </c>
      <c r="L56" s="55" t="str">
        <f t="shared" si="14"/>
        <v xml:space="preserve"> </v>
      </c>
      <c r="M56" s="55" t="str">
        <f t="shared" si="14"/>
        <v xml:space="preserve"> </v>
      </c>
      <c r="N56" s="55" t="str">
        <f t="shared" si="14"/>
        <v xml:space="preserve"> </v>
      </c>
      <c r="O56" s="55" t="str">
        <f t="shared" si="14"/>
        <v xml:space="preserve"> </v>
      </c>
      <c r="P56" s="55" t="str">
        <f t="shared" si="14"/>
        <v xml:space="preserve"> </v>
      </c>
      <c r="Q56" s="55" t="str">
        <f t="shared" si="14"/>
        <v xml:space="preserve"> </v>
      </c>
      <c r="R56" s="55" t="str">
        <f t="shared" si="14"/>
        <v xml:space="preserve"> </v>
      </c>
      <c r="S56" s="55" t="str">
        <f t="shared" si="14"/>
        <v xml:space="preserve"> </v>
      </c>
      <c r="T56" s="5"/>
      <c r="U56" s="5"/>
      <c r="V56" s="5"/>
      <c r="W56" s="5"/>
      <c r="X56" s="5"/>
      <c r="Y56" s="5"/>
      <c r="Z56" s="5"/>
    </row>
    <row r="57" spans="1:26" ht="12" hidden="1" customHeight="1" x14ac:dyDescent="0.25">
      <c r="A57" s="5"/>
      <c r="B57" s="5"/>
      <c r="C57" s="5"/>
      <c r="D57" s="5"/>
      <c r="E57" s="55" t="str">
        <f t="shared" ref="E57:S57" si="15">IF(ISBLANK(E18), " ",IF(ISTEXT(E18),0,E18))</f>
        <v xml:space="preserve"> </v>
      </c>
      <c r="F57" s="55" t="str">
        <f t="shared" si="15"/>
        <v xml:space="preserve"> </v>
      </c>
      <c r="G57" s="55" t="str">
        <f t="shared" si="15"/>
        <v xml:space="preserve"> </v>
      </c>
      <c r="H57" s="55" t="str">
        <f t="shared" si="15"/>
        <v xml:space="preserve"> </v>
      </c>
      <c r="I57" s="55" t="str">
        <f t="shared" si="15"/>
        <v xml:space="preserve"> </v>
      </c>
      <c r="J57" s="55" t="str">
        <f t="shared" si="15"/>
        <v xml:space="preserve"> </v>
      </c>
      <c r="K57" s="55" t="str">
        <f t="shared" si="15"/>
        <v xml:space="preserve"> </v>
      </c>
      <c r="L57" s="55" t="str">
        <f t="shared" si="15"/>
        <v xml:space="preserve"> </v>
      </c>
      <c r="M57" s="55" t="str">
        <f t="shared" si="15"/>
        <v xml:space="preserve"> </v>
      </c>
      <c r="N57" s="55" t="str">
        <f t="shared" si="15"/>
        <v xml:space="preserve"> </v>
      </c>
      <c r="O57" s="55" t="str">
        <f t="shared" si="15"/>
        <v xml:space="preserve"> </v>
      </c>
      <c r="P57" s="55" t="str">
        <f t="shared" si="15"/>
        <v xml:space="preserve"> </v>
      </c>
      <c r="Q57" s="55" t="str">
        <f t="shared" si="15"/>
        <v xml:space="preserve"> </v>
      </c>
      <c r="R57" s="55" t="str">
        <f t="shared" si="15"/>
        <v xml:space="preserve"> </v>
      </c>
      <c r="S57" s="55" t="str">
        <f t="shared" si="15"/>
        <v xml:space="preserve"> </v>
      </c>
      <c r="T57" s="5"/>
      <c r="U57" s="5"/>
      <c r="V57" s="5"/>
      <c r="W57" s="5"/>
      <c r="X57" s="5"/>
      <c r="Y57" s="5"/>
      <c r="Z57" s="5"/>
    </row>
    <row r="58" spans="1:26" ht="12" hidden="1" customHeight="1" x14ac:dyDescent="0.25">
      <c r="A58" s="5"/>
      <c r="B58" s="5"/>
      <c r="C58" s="5"/>
      <c r="D58" s="5"/>
      <c r="E58" s="55" t="str">
        <f t="shared" ref="E58:S58" si="16">IF(ISBLANK(E19), " ",IF(ISTEXT(E19),0,E19))</f>
        <v xml:space="preserve"> </v>
      </c>
      <c r="F58" s="55" t="str">
        <f t="shared" si="16"/>
        <v xml:space="preserve"> </v>
      </c>
      <c r="G58" s="55" t="str">
        <f t="shared" si="16"/>
        <v xml:space="preserve"> </v>
      </c>
      <c r="H58" s="55" t="str">
        <f t="shared" si="16"/>
        <v xml:space="preserve"> </v>
      </c>
      <c r="I58" s="55" t="str">
        <f t="shared" si="16"/>
        <v xml:space="preserve"> </v>
      </c>
      <c r="J58" s="55" t="str">
        <f t="shared" si="16"/>
        <v xml:space="preserve"> </v>
      </c>
      <c r="K58" s="55" t="str">
        <f t="shared" si="16"/>
        <v xml:space="preserve"> </v>
      </c>
      <c r="L58" s="55" t="str">
        <f t="shared" si="16"/>
        <v xml:space="preserve"> </v>
      </c>
      <c r="M58" s="55" t="str">
        <f t="shared" si="16"/>
        <v xml:space="preserve"> </v>
      </c>
      <c r="N58" s="55" t="str">
        <f t="shared" si="16"/>
        <v xml:space="preserve"> </v>
      </c>
      <c r="O58" s="55" t="str">
        <f t="shared" si="16"/>
        <v xml:space="preserve"> </v>
      </c>
      <c r="P58" s="55" t="str">
        <f t="shared" si="16"/>
        <v xml:space="preserve"> </v>
      </c>
      <c r="Q58" s="55" t="str">
        <f t="shared" si="16"/>
        <v xml:space="preserve"> </v>
      </c>
      <c r="R58" s="55" t="str">
        <f t="shared" si="16"/>
        <v xml:space="preserve"> </v>
      </c>
      <c r="S58" s="55" t="str">
        <f t="shared" si="16"/>
        <v xml:space="preserve"> </v>
      </c>
      <c r="T58" s="5"/>
      <c r="U58" s="5"/>
      <c r="V58" s="5"/>
      <c r="W58" s="5"/>
      <c r="X58" s="5"/>
      <c r="Y58" s="5"/>
      <c r="Z58" s="5"/>
    </row>
    <row r="59" spans="1:26" ht="12" hidden="1" customHeight="1" x14ac:dyDescent="0.25">
      <c r="A59" s="5"/>
      <c r="B59" s="5"/>
      <c r="C59" s="5"/>
      <c r="D59" s="5"/>
      <c r="E59" s="55" t="str">
        <f t="shared" ref="E59:S59" si="17">IF(ISBLANK(E20), " ",IF(ISTEXT(E20),0,E20))</f>
        <v xml:space="preserve"> </v>
      </c>
      <c r="F59" s="55" t="str">
        <f t="shared" si="17"/>
        <v xml:space="preserve"> </v>
      </c>
      <c r="G59" s="55" t="str">
        <f t="shared" si="17"/>
        <v xml:space="preserve"> </v>
      </c>
      <c r="H59" s="55" t="str">
        <f t="shared" si="17"/>
        <v xml:space="preserve"> </v>
      </c>
      <c r="I59" s="55" t="str">
        <f t="shared" si="17"/>
        <v xml:space="preserve"> </v>
      </c>
      <c r="J59" s="55" t="str">
        <f t="shared" si="17"/>
        <v xml:space="preserve"> </v>
      </c>
      <c r="K59" s="55" t="str">
        <f t="shared" si="17"/>
        <v xml:space="preserve"> </v>
      </c>
      <c r="L59" s="55" t="str">
        <f t="shared" si="17"/>
        <v xml:space="preserve"> </v>
      </c>
      <c r="M59" s="55" t="str">
        <f t="shared" si="17"/>
        <v xml:space="preserve"> </v>
      </c>
      <c r="N59" s="55" t="str">
        <f t="shared" si="17"/>
        <v xml:space="preserve"> </v>
      </c>
      <c r="O59" s="55" t="str">
        <f t="shared" si="17"/>
        <v xml:space="preserve"> </v>
      </c>
      <c r="P59" s="55" t="str">
        <f t="shared" si="17"/>
        <v xml:space="preserve"> </v>
      </c>
      <c r="Q59" s="55" t="str">
        <f t="shared" si="17"/>
        <v xml:space="preserve"> </v>
      </c>
      <c r="R59" s="55" t="str">
        <f t="shared" si="17"/>
        <v xml:space="preserve"> </v>
      </c>
      <c r="S59" s="55" t="str">
        <f t="shared" si="17"/>
        <v xml:space="preserve"> </v>
      </c>
      <c r="T59" s="5"/>
      <c r="U59" s="5"/>
      <c r="V59" s="5"/>
      <c r="W59" s="5"/>
      <c r="X59" s="5"/>
      <c r="Y59" s="5"/>
      <c r="Z59" s="5"/>
    </row>
    <row r="60" spans="1:26" ht="12" hidden="1" customHeight="1" x14ac:dyDescent="0.25">
      <c r="A60" s="5"/>
      <c r="B60" s="5"/>
      <c r="C60" s="5"/>
      <c r="D60" s="5"/>
      <c r="E60" s="55" t="str">
        <f t="shared" ref="E60:S60" si="18">IF(ISBLANK(E21), " ",IF(ISTEXT(E21),0,E21))</f>
        <v xml:space="preserve"> </v>
      </c>
      <c r="F60" s="55" t="str">
        <f t="shared" si="18"/>
        <v xml:space="preserve"> </v>
      </c>
      <c r="G60" s="55" t="str">
        <f t="shared" si="18"/>
        <v xml:space="preserve"> </v>
      </c>
      <c r="H60" s="55" t="str">
        <f t="shared" si="18"/>
        <v xml:space="preserve"> </v>
      </c>
      <c r="I60" s="55" t="str">
        <f t="shared" si="18"/>
        <v xml:space="preserve"> </v>
      </c>
      <c r="J60" s="55" t="str">
        <f t="shared" si="18"/>
        <v xml:space="preserve"> </v>
      </c>
      <c r="K60" s="55" t="str">
        <f t="shared" si="18"/>
        <v xml:space="preserve"> </v>
      </c>
      <c r="L60" s="55" t="str">
        <f t="shared" si="18"/>
        <v xml:space="preserve"> </v>
      </c>
      <c r="M60" s="55" t="str">
        <f t="shared" si="18"/>
        <v xml:space="preserve"> </v>
      </c>
      <c r="N60" s="55" t="str">
        <f t="shared" si="18"/>
        <v xml:space="preserve"> </v>
      </c>
      <c r="O60" s="55" t="str">
        <f t="shared" si="18"/>
        <v xml:space="preserve"> </v>
      </c>
      <c r="P60" s="55" t="str">
        <f t="shared" si="18"/>
        <v xml:space="preserve"> </v>
      </c>
      <c r="Q60" s="55" t="str">
        <f t="shared" si="18"/>
        <v xml:space="preserve"> </v>
      </c>
      <c r="R60" s="55" t="str">
        <f t="shared" si="18"/>
        <v xml:space="preserve"> </v>
      </c>
      <c r="S60" s="55" t="str">
        <f t="shared" si="18"/>
        <v xml:space="preserve"> </v>
      </c>
      <c r="T60" s="5"/>
      <c r="U60" s="5"/>
      <c r="V60" s="5"/>
      <c r="W60" s="5"/>
      <c r="X60" s="5"/>
      <c r="Y60" s="5"/>
      <c r="Z60" s="5"/>
    </row>
    <row r="61" spans="1:26" ht="12" hidden="1" customHeight="1" x14ac:dyDescent="0.25">
      <c r="A61" s="5"/>
      <c r="B61" s="5"/>
      <c r="C61" s="5"/>
      <c r="D61" s="5"/>
      <c r="E61" s="55" t="str">
        <f t="shared" ref="E61:S61" si="19">IF(ISBLANK(E22), " ",IF(ISTEXT(E22),0,E22))</f>
        <v xml:space="preserve"> </v>
      </c>
      <c r="F61" s="55" t="str">
        <f t="shared" si="19"/>
        <v xml:space="preserve"> </v>
      </c>
      <c r="G61" s="55" t="str">
        <f t="shared" si="19"/>
        <v xml:space="preserve"> </v>
      </c>
      <c r="H61" s="55" t="str">
        <f t="shared" si="19"/>
        <v xml:space="preserve"> </v>
      </c>
      <c r="I61" s="55" t="str">
        <f t="shared" si="19"/>
        <v xml:space="preserve"> </v>
      </c>
      <c r="J61" s="55" t="str">
        <f t="shared" si="19"/>
        <v xml:space="preserve"> </v>
      </c>
      <c r="K61" s="55" t="str">
        <f t="shared" si="19"/>
        <v xml:space="preserve"> </v>
      </c>
      <c r="L61" s="55" t="str">
        <f t="shared" si="19"/>
        <v xml:space="preserve"> </v>
      </c>
      <c r="M61" s="55" t="str">
        <f t="shared" si="19"/>
        <v xml:space="preserve"> </v>
      </c>
      <c r="N61" s="55" t="str">
        <f t="shared" si="19"/>
        <v xml:space="preserve"> </v>
      </c>
      <c r="O61" s="55" t="str">
        <f t="shared" si="19"/>
        <v xml:space="preserve"> </v>
      </c>
      <c r="P61" s="55" t="str">
        <f t="shared" si="19"/>
        <v xml:space="preserve"> </v>
      </c>
      <c r="Q61" s="55" t="str">
        <f t="shared" si="19"/>
        <v xml:space="preserve"> </v>
      </c>
      <c r="R61" s="55" t="str">
        <f t="shared" si="19"/>
        <v xml:space="preserve"> </v>
      </c>
      <c r="S61" s="55" t="str">
        <f t="shared" si="19"/>
        <v xml:space="preserve"> </v>
      </c>
      <c r="T61" s="5"/>
      <c r="U61" s="5"/>
      <c r="V61" s="5"/>
      <c r="W61" s="5"/>
      <c r="X61" s="5"/>
      <c r="Y61" s="5"/>
      <c r="Z61" s="5"/>
    </row>
    <row r="62" spans="1:26" ht="12" hidden="1" customHeight="1" x14ac:dyDescent="0.25">
      <c r="A62" s="5"/>
      <c r="B62" s="5"/>
      <c r="C62" s="5"/>
      <c r="D62" s="5"/>
      <c r="E62" s="55" t="str">
        <f t="shared" ref="E62:S62" si="20">IF(ISBLANK(E23), " ",IF(ISTEXT(E23),0,E23))</f>
        <v xml:space="preserve"> </v>
      </c>
      <c r="F62" s="55" t="str">
        <f t="shared" si="20"/>
        <v xml:space="preserve"> </v>
      </c>
      <c r="G62" s="55" t="str">
        <f t="shared" si="20"/>
        <v xml:space="preserve"> </v>
      </c>
      <c r="H62" s="55" t="str">
        <f t="shared" si="20"/>
        <v xml:space="preserve"> </v>
      </c>
      <c r="I62" s="55" t="str">
        <f t="shared" si="20"/>
        <v xml:space="preserve"> </v>
      </c>
      <c r="J62" s="55" t="str">
        <f t="shared" si="20"/>
        <v xml:space="preserve"> </v>
      </c>
      <c r="K62" s="55" t="str">
        <f t="shared" si="20"/>
        <v xml:space="preserve"> </v>
      </c>
      <c r="L62" s="55" t="str">
        <f t="shared" si="20"/>
        <v xml:space="preserve"> </v>
      </c>
      <c r="M62" s="55" t="str">
        <f t="shared" si="20"/>
        <v xml:space="preserve"> </v>
      </c>
      <c r="N62" s="55" t="str">
        <f t="shared" si="20"/>
        <v xml:space="preserve"> </v>
      </c>
      <c r="O62" s="55" t="str">
        <f t="shared" si="20"/>
        <v xml:space="preserve"> </v>
      </c>
      <c r="P62" s="55" t="str">
        <f t="shared" si="20"/>
        <v xml:space="preserve"> </v>
      </c>
      <c r="Q62" s="55" t="str">
        <f t="shared" si="20"/>
        <v xml:space="preserve"> </v>
      </c>
      <c r="R62" s="55" t="str">
        <f t="shared" si="20"/>
        <v xml:space="preserve"> </v>
      </c>
      <c r="S62" s="55" t="str">
        <f t="shared" si="20"/>
        <v xml:space="preserve"> </v>
      </c>
      <c r="T62" s="5"/>
      <c r="U62" s="5"/>
      <c r="V62" s="5"/>
      <c r="W62" s="5"/>
      <c r="X62" s="5"/>
      <c r="Y62" s="5"/>
      <c r="Z62" s="5"/>
    </row>
    <row r="63" spans="1:26" ht="12" hidden="1" customHeight="1" x14ac:dyDescent="0.25">
      <c r="A63" s="5"/>
      <c r="B63" s="5"/>
      <c r="C63" s="5"/>
      <c r="D63" s="5"/>
      <c r="E63" s="55" t="str">
        <f t="shared" ref="E63:S63" si="21">IF(ISBLANK(E24), " ",IF(ISTEXT(E24),0,E24))</f>
        <v xml:space="preserve"> </v>
      </c>
      <c r="F63" s="55" t="str">
        <f t="shared" si="21"/>
        <v xml:space="preserve"> </v>
      </c>
      <c r="G63" s="55" t="str">
        <f t="shared" si="21"/>
        <v xml:space="preserve"> </v>
      </c>
      <c r="H63" s="55" t="str">
        <f t="shared" si="21"/>
        <v xml:space="preserve"> </v>
      </c>
      <c r="I63" s="55" t="str">
        <f t="shared" si="21"/>
        <v xml:space="preserve"> </v>
      </c>
      <c r="J63" s="55" t="str">
        <f t="shared" si="21"/>
        <v xml:space="preserve"> </v>
      </c>
      <c r="K63" s="55" t="str">
        <f t="shared" si="21"/>
        <v xml:space="preserve"> </v>
      </c>
      <c r="L63" s="55" t="str">
        <f t="shared" si="21"/>
        <v xml:space="preserve"> </v>
      </c>
      <c r="M63" s="55" t="str">
        <f t="shared" si="21"/>
        <v xml:space="preserve"> </v>
      </c>
      <c r="N63" s="55" t="str">
        <f t="shared" si="21"/>
        <v xml:space="preserve"> </v>
      </c>
      <c r="O63" s="55" t="str">
        <f t="shared" si="21"/>
        <v xml:space="preserve"> </v>
      </c>
      <c r="P63" s="55" t="str">
        <f t="shared" si="21"/>
        <v xml:space="preserve"> </v>
      </c>
      <c r="Q63" s="55" t="str">
        <f t="shared" si="21"/>
        <v xml:space="preserve"> </v>
      </c>
      <c r="R63" s="55" t="str">
        <f t="shared" si="21"/>
        <v xml:space="preserve"> </v>
      </c>
      <c r="S63" s="55" t="str">
        <f t="shared" si="21"/>
        <v xml:space="preserve"> </v>
      </c>
      <c r="T63" s="5"/>
      <c r="U63" s="5"/>
      <c r="V63" s="5"/>
      <c r="W63" s="5"/>
      <c r="X63" s="5"/>
      <c r="Y63" s="5"/>
      <c r="Z63" s="5"/>
    </row>
    <row r="64" spans="1:26" ht="12" hidden="1" customHeight="1" x14ac:dyDescent="0.25">
      <c r="A64" s="5"/>
      <c r="B64" s="5"/>
      <c r="C64" s="5"/>
      <c r="D64" s="5"/>
      <c r="E64" s="55" t="str">
        <f t="shared" ref="E64:S64" si="22">IF(ISBLANK(E25), " ",IF(ISTEXT(E25),0,E25))</f>
        <v xml:space="preserve"> </v>
      </c>
      <c r="F64" s="55" t="str">
        <f t="shared" si="22"/>
        <v xml:space="preserve"> </v>
      </c>
      <c r="G64" s="55" t="str">
        <f t="shared" si="22"/>
        <v xml:space="preserve"> </v>
      </c>
      <c r="H64" s="55" t="str">
        <f t="shared" si="22"/>
        <v xml:space="preserve"> </v>
      </c>
      <c r="I64" s="55" t="str">
        <f t="shared" si="22"/>
        <v xml:space="preserve"> </v>
      </c>
      <c r="J64" s="55" t="str">
        <f t="shared" si="22"/>
        <v xml:space="preserve"> </v>
      </c>
      <c r="K64" s="55" t="str">
        <f t="shared" si="22"/>
        <v xml:space="preserve"> </v>
      </c>
      <c r="L64" s="55" t="str">
        <f t="shared" si="22"/>
        <v xml:space="preserve"> </v>
      </c>
      <c r="M64" s="55" t="str">
        <f t="shared" si="22"/>
        <v xml:space="preserve"> </v>
      </c>
      <c r="N64" s="55" t="str">
        <f t="shared" si="22"/>
        <v xml:space="preserve"> </v>
      </c>
      <c r="O64" s="55" t="str">
        <f t="shared" si="22"/>
        <v xml:space="preserve"> </v>
      </c>
      <c r="P64" s="55" t="str">
        <f t="shared" si="22"/>
        <v xml:space="preserve"> </v>
      </c>
      <c r="Q64" s="55" t="str">
        <f t="shared" si="22"/>
        <v xml:space="preserve"> </v>
      </c>
      <c r="R64" s="55" t="str">
        <f t="shared" si="22"/>
        <v xml:space="preserve"> </v>
      </c>
      <c r="S64" s="55" t="str">
        <f t="shared" si="22"/>
        <v xml:space="preserve"> </v>
      </c>
      <c r="T64" s="5"/>
      <c r="U64" s="5"/>
      <c r="V64" s="5"/>
      <c r="W64" s="5"/>
      <c r="X64" s="5"/>
      <c r="Y64" s="5"/>
      <c r="Z64" s="5"/>
    </row>
    <row r="65" spans="1:26" ht="12" hidden="1" customHeight="1" x14ac:dyDescent="0.25">
      <c r="A65" s="5"/>
      <c r="B65" s="5"/>
      <c r="C65" s="5"/>
      <c r="D65" s="5"/>
      <c r="E65" s="55" t="str">
        <f t="shared" ref="E65:S65" si="23">IF(ISBLANK(E26), " ",IF(ISTEXT(E26),0,E26))</f>
        <v xml:space="preserve"> </v>
      </c>
      <c r="F65" s="55" t="str">
        <f t="shared" si="23"/>
        <v xml:space="preserve"> </v>
      </c>
      <c r="G65" s="55" t="str">
        <f t="shared" si="23"/>
        <v xml:space="preserve"> </v>
      </c>
      <c r="H65" s="55" t="str">
        <f t="shared" si="23"/>
        <v xml:space="preserve"> </v>
      </c>
      <c r="I65" s="55" t="str">
        <f t="shared" si="23"/>
        <v xml:space="preserve"> </v>
      </c>
      <c r="J65" s="55" t="str">
        <f t="shared" si="23"/>
        <v xml:space="preserve"> </v>
      </c>
      <c r="K65" s="55" t="str">
        <f t="shared" si="23"/>
        <v xml:space="preserve"> </v>
      </c>
      <c r="L65" s="55" t="str">
        <f t="shared" si="23"/>
        <v xml:space="preserve"> </v>
      </c>
      <c r="M65" s="55" t="str">
        <f t="shared" si="23"/>
        <v xml:space="preserve"> </v>
      </c>
      <c r="N65" s="55" t="str">
        <f t="shared" si="23"/>
        <v xml:space="preserve"> </v>
      </c>
      <c r="O65" s="55" t="str">
        <f t="shared" si="23"/>
        <v xml:space="preserve"> </v>
      </c>
      <c r="P65" s="55" t="str">
        <f t="shared" si="23"/>
        <v xml:space="preserve"> </v>
      </c>
      <c r="Q65" s="55" t="str">
        <f t="shared" si="23"/>
        <v xml:space="preserve"> </v>
      </c>
      <c r="R65" s="55" t="str">
        <f t="shared" si="23"/>
        <v xml:space="preserve"> </v>
      </c>
      <c r="S65" s="55" t="str">
        <f t="shared" si="23"/>
        <v xml:space="preserve"> </v>
      </c>
      <c r="T65" s="5"/>
      <c r="U65" s="5"/>
      <c r="V65" s="5"/>
      <c r="W65" s="5"/>
      <c r="X65" s="5"/>
      <c r="Y65" s="5"/>
      <c r="Z65" s="5"/>
    </row>
    <row r="66" spans="1:26" ht="12" hidden="1" customHeight="1" x14ac:dyDescent="0.25">
      <c r="A66" s="5"/>
      <c r="B66" s="5"/>
      <c r="C66" s="5"/>
      <c r="D66" s="5"/>
      <c r="E66" s="55" t="str">
        <f t="shared" ref="E66:S66" si="24">IF(ISBLANK(E27), " ",IF(ISTEXT(E27),0,E27))</f>
        <v xml:space="preserve"> </v>
      </c>
      <c r="F66" s="55" t="str">
        <f t="shared" si="24"/>
        <v xml:space="preserve"> </v>
      </c>
      <c r="G66" s="55" t="str">
        <f t="shared" si="24"/>
        <v xml:space="preserve"> </v>
      </c>
      <c r="H66" s="55" t="str">
        <f t="shared" si="24"/>
        <v xml:space="preserve"> </v>
      </c>
      <c r="I66" s="55" t="str">
        <f t="shared" si="24"/>
        <v xml:space="preserve"> </v>
      </c>
      <c r="J66" s="55" t="str">
        <f t="shared" si="24"/>
        <v xml:space="preserve"> </v>
      </c>
      <c r="K66" s="55" t="str">
        <f t="shared" si="24"/>
        <v xml:space="preserve"> </v>
      </c>
      <c r="L66" s="55" t="str">
        <f t="shared" si="24"/>
        <v xml:space="preserve"> </v>
      </c>
      <c r="M66" s="55" t="str">
        <f t="shared" si="24"/>
        <v xml:space="preserve"> </v>
      </c>
      <c r="N66" s="55" t="str">
        <f t="shared" si="24"/>
        <v xml:space="preserve"> </v>
      </c>
      <c r="O66" s="55" t="str">
        <f t="shared" si="24"/>
        <v xml:space="preserve"> </v>
      </c>
      <c r="P66" s="55" t="str">
        <f t="shared" si="24"/>
        <v xml:space="preserve"> </v>
      </c>
      <c r="Q66" s="55" t="str">
        <f t="shared" si="24"/>
        <v xml:space="preserve"> </v>
      </c>
      <c r="R66" s="55" t="str">
        <f t="shared" si="24"/>
        <v xml:space="preserve"> </v>
      </c>
      <c r="S66" s="55" t="str">
        <f t="shared" si="24"/>
        <v xml:space="preserve"> </v>
      </c>
      <c r="T66" s="5"/>
      <c r="U66" s="5"/>
      <c r="V66" s="5"/>
      <c r="W66" s="5"/>
      <c r="X66" s="5"/>
      <c r="Y66" s="5"/>
      <c r="Z66" s="5"/>
    </row>
    <row r="67" spans="1:26" ht="12" hidden="1" customHeight="1" x14ac:dyDescent="0.25">
      <c r="A67" s="5"/>
      <c r="B67" s="5"/>
      <c r="C67" s="5"/>
      <c r="D67" s="5"/>
      <c r="E67" s="55" t="str">
        <f t="shared" ref="E67:S67" si="25">IF(ISBLANK(E28), " ",IF(ISTEXT(E28),0,E28))</f>
        <v xml:space="preserve"> </v>
      </c>
      <c r="F67" s="55" t="str">
        <f t="shared" si="25"/>
        <v xml:space="preserve"> </v>
      </c>
      <c r="G67" s="55" t="str">
        <f t="shared" si="25"/>
        <v xml:space="preserve"> </v>
      </c>
      <c r="H67" s="55" t="str">
        <f t="shared" si="25"/>
        <v xml:space="preserve"> </v>
      </c>
      <c r="I67" s="55" t="str">
        <f t="shared" si="25"/>
        <v xml:space="preserve"> </v>
      </c>
      <c r="J67" s="55" t="str">
        <f t="shared" si="25"/>
        <v xml:space="preserve"> </v>
      </c>
      <c r="K67" s="55" t="str">
        <f t="shared" si="25"/>
        <v xml:space="preserve"> </v>
      </c>
      <c r="L67" s="55" t="str">
        <f t="shared" si="25"/>
        <v xml:space="preserve"> </v>
      </c>
      <c r="M67" s="55" t="str">
        <f t="shared" si="25"/>
        <v xml:space="preserve"> </v>
      </c>
      <c r="N67" s="55" t="str">
        <f t="shared" si="25"/>
        <v xml:space="preserve"> </v>
      </c>
      <c r="O67" s="55" t="str">
        <f t="shared" si="25"/>
        <v xml:space="preserve"> </v>
      </c>
      <c r="P67" s="55" t="str">
        <f t="shared" si="25"/>
        <v xml:space="preserve"> </v>
      </c>
      <c r="Q67" s="55" t="str">
        <f t="shared" si="25"/>
        <v xml:space="preserve"> </v>
      </c>
      <c r="R67" s="55" t="str">
        <f t="shared" si="25"/>
        <v xml:space="preserve"> </v>
      </c>
      <c r="S67" s="55" t="str">
        <f t="shared" si="25"/>
        <v xml:space="preserve"> </v>
      </c>
      <c r="T67" s="5"/>
      <c r="U67" s="5"/>
      <c r="V67" s="5"/>
      <c r="W67" s="5"/>
      <c r="X67" s="5"/>
      <c r="Y67" s="5"/>
      <c r="Z67" s="5"/>
    </row>
    <row r="68" spans="1:26" ht="12" hidden="1" customHeight="1" x14ac:dyDescent="0.25">
      <c r="A68" s="5"/>
      <c r="B68" s="5"/>
      <c r="C68" s="5"/>
      <c r="D68" s="5"/>
      <c r="E68" s="55" t="str">
        <f t="shared" ref="E68:S68" si="26">IF(ISBLANK(E29), " ",IF(ISTEXT(E29),0,E29))</f>
        <v xml:space="preserve"> </v>
      </c>
      <c r="F68" s="55" t="str">
        <f t="shared" si="26"/>
        <v xml:space="preserve"> </v>
      </c>
      <c r="G68" s="55" t="str">
        <f t="shared" si="26"/>
        <v xml:space="preserve"> </v>
      </c>
      <c r="H68" s="55" t="str">
        <f t="shared" si="26"/>
        <v xml:space="preserve"> </v>
      </c>
      <c r="I68" s="55" t="str">
        <f t="shared" si="26"/>
        <v xml:space="preserve"> </v>
      </c>
      <c r="J68" s="55" t="str">
        <f t="shared" si="26"/>
        <v xml:space="preserve"> </v>
      </c>
      <c r="K68" s="55" t="str">
        <f t="shared" si="26"/>
        <v xml:space="preserve"> </v>
      </c>
      <c r="L68" s="55" t="str">
        <f t="shared" si="26"/>
        <v xml:space="preserve"> </v>
      </c>
      <c r="M68" s="55" t="str">
        <f t="shared" si="26"/>
        <v xml:space="preserve"> </v>
      </c>
      <c r="N68" s="55" t="str">
        <f t="shared" si="26"/>
        <v xml:space="preserve"> </v>
      </c>
      <c r="O68" s="55" t="str">
        <f t="shared" si="26"/>
        <v xml:space="preserve"> </v>
      </c>
      <c r="P68" s="55" t="str">
        <f t="shared" si="26"/>
        <v xml:space="preserve"> </v>
      </c>
      <c r="Q68" s="55" t="str">
        <f t="shared" si="26"/>
        <v xml:space="preserve"> </v>
      </c>
      <c r="R68" s="55" t="str">
        <f t="shared" si="26"/>
        <v xml:space="preserve"> </v>
      </c>
      <c r="S68" s="55" t="str">
        <f t="shared" si="26"/>
        <v xml:space="preserve"> </v>
      </c>
      <c r="T68" s="5"/>
      <c r="U68" s="5"/>
      <c r="V68" s="5"/>
      <c r="W68" s="5"/>
      <c r="X68" s="5"/>
      <c r="Y68" s="5"/>
      <c r="Z68" s="5"/>
    </row>
    <row r="69" spans="1:26" ht="12" hidden="1" customHeight="1" x14ac:dyDescent="0.25">
      <c r="A69" s="5"/>
      <c r="B69" s="5"/>
      <c r="C69" s="5"/>
      <c r="D69" s="5"/>
      <c r="E69" s="55" t="str">
        <f t="shared" ref="E69:S69" si="27">IF(ISBLANK(E30), " ",IF(ISTEXT(E30),0,E30))</f>
        <v xml:space="preserve"> </v>
      </c>
      <c r="F69" s="55" t="str">
        <f t="shared" si="27"/>
        <v xml:space="preserve"> </v>
      </c>
      <c r="G69" s="55" t="str">
        <f t="shared" si="27"/>
        <v xml:space="preserve"> </v>
      </c>
      <c r="H69" s="55" t="str">
        <f t="shared" si="27"/>
        <v xml:space="preserve"> </v>
      </c>
      <c r="I69" s="55" t="str">
        <f t="shared" si="27"/>
        <v xml:space="preserve"> </v>
      </c>
      <c r="J69" s="55" t="str">
        <f t="shared" si="27"/>
        <v xml:space="preserve"> </v>
      </c>
      <c r="K69" s="55" t="str">
        <f t="shared" si="27"/>
        <v xml:space="preserve"> </v>
      </c>
      <c r="L69" s="55" t="str">
        <f t="shared" si="27"/>
        <v xml:space="preserve"> </v>
      </c>
      <c r="M69" s="55" t="str">
        <f t="shared" si="27"/>
        <v xml:space="preserve"> </v>
      </c>
      <c r="N69" s="55" t="str">
        <f t="shared" si="27"/>
        <v xml:space="preserve"> </v>
      </c>
      <c r="O69" s="55" t="str">
        <f t="shared" si="27"/>
        <v xml:space="preserve"> </v>
      </c>
      <c r="P69" s="55" t="str">
        <f t="shared" si="27"/>
        <v xml:space="preserve"> </v>
      </c>
      <c r="Q69" s="55" t="str">
        <f t="shared" si="27"/>
        <v xml:space="preserve"> </v>
      </c>
      <c r="R69" s="55" t="str">
        <f t="shared" si="27"/>
        <v xml:space="preserve"> </v>
      </c>
      <c r="S69" s="55" t="str">
        <f t="shared" si="27"/>
        <v xml:space="preserve"> </v>
      </c>
      <c r="T69" s="5"/>
      <c r="U69" s="5"/>
      <c r="V69" s="5"/>
      <c r="W69" s="5"/>
      <c r="X69" s="5"/>
      <c r="Y69" s="5"/>
      <c r="Z69" s="5"/>
    </row>
    <row r="70" spans="1:26" ht="12" hidden="1" customHeight="1" x14ac:dyDescent="0.25">
      <c r="A70" s="5"/>
      <c r="B70" s="5"/>
      <c r="C70" s="5"/>
      <c r="D70" s="5"/>
      <c r="E70" s="55" t="str">
        <f t="shared" ref="E70:S70" si="28">IF(ISBLANK(E31), " ",IF(ISTEXT(E31),0,E31))</f>
        <v xml:space="preserve"> </v>
      </c>
      <c r="F70" s="55" t="str">
        <f t="shared" si="28"/>
        <v xml:space="preserve"> </v>
      </c>
      <c r="G70" s="55" t="str">
        <f t="shared" si="28"/>
        <v xml:space="preserve"> </v>
      </c>
      <c r="H70" s="55" t="str">
        <f t="shared" si="28"/>
        <v xml:space="preserve"> </v>
      </c>
      <c r="I70" s="55" t="str">
        <f t="shared" si="28"/>
        <v xml:space="preserve"> </v>
      </c>
      <c r="J70" s="55" t="str">
        <f t="shared" si="28"/>
        <v xml:space="preserve"> </v>
      </c>
      <c r="K70" s="55" t="str">
        <f t="shared" si="28"/>
        <v xml:space="preserve"> </v>
      </c>
      <c r="L70" s="55" t="str">
        <f t="shared" si="28"/>
        <v xml:space="preserve"> </v>
      </c>
      <c r="M70" s="55" t="str">
        <f t="shared" si="28"/>
        <v xml:space="preserve"> </v>
      </c>
      <c r="N70" s="55" t="str">
        <f t="shared" si="28"/>
        <v xml:space="preserve"> </v>
      </c>
      <c r="O70" s="55" t="str">
        <f t="shared" si="28"/>
        <v xml:space="preserve"> </v>
      </c>
      <c r="P70" s="55" t="str">
        <f t="shared" si="28"/>
        <v xml:space="preserve"> </v>
      </c>
      <c r="Q70" s="55" t="str">
        <f t="shared" si="28"/>
        <v xml:space="preserve"> </v>
      </c>
      <c r="R70" s="55" t="str">
        <f t="shared" si="28"/>
        <v xml:space="preserve"> </v>
      </c>
      <c r="S70" s="55" t="str">
        <f t="shared" si="28"/>
        <v xml:space="preserve"> </v>
      </c>
      <c r="T70" s="5"/>
      <c r="U70" s="5"/>
      <c r="V70" s="5"/>
      <c r="W70" s="5"/>
      <c r="X70" s="5"/>
      <c r="Y70" s="5"/>
      <c r="Z70" s="5"/>
    </row>
    <row r="71" spans="1:26" ht="12" hidden="1" customHeight="1" x14ac:dyDescent="0.25">
      <c r="A71" s="5"/>
      <c r="B71" s="5"/>
      <c r="C71" s="5"/>
      <c r="D71" s="5"/>
      <c r="E71" s="55" t="str">
        <f t="shared" ref="E71:S71" si="29">IF(ISBLANK(E32), " ",IF(ISTEXT(E32),0,E32))</f>
        <v xml:space="preserve"> </v>
      </c>
      <c r="F71" s="55" t="str">
        <f t="shared" si="29"/>
        <v xml:space="preserve"> </v>
      </c>
      <c r="G71" s="55" t="str">
        <f t="shared" si="29"/>
        <v xml:space="preserve"> </v>
      </c>
      <c r="H71" s="55" t="str">
        <f t="shared" si="29"/>
        <v xml:space="preserve"> </v>
      </c>
      <c r="I71" s="55" t="str">
        <f t="shared" si="29"/>
        <v xml:space="preserve"> </v>
      </c>
      <c r="J71" s="55" t="str">
        <f t="shared" si="29"/>
        <v xml:space="preserve"> </v>
      </c>
      <c r="K71" s="55" t="str">
        <f t="shared" si="29"/>
        <v xml:space="preserve"> </v>
      </c>
      <c r="L71" s="55" t="str">
        <f t="shared" si="29"/>
        <v xml:space="preserve"> </v>
      </c>
      <c r="M71" s="55" t="str">
        <f t="shared" si="29"/>
        <v xml:space="preserve"> </v>
      </c>
      <c r="N71" s="55" t="str">
        <f t="shared" si="29"/>
        <v xml:space="preserve"> </v>
      </c>
      <c r="O71" s="55" t="str">
        <f t="shared" si="29"/>
        <v xml:space="preserve"> </v>
      </c>
      <c r="P71" s="55" t="str">
        <f t="shared" si="29"/>
        <v xml:space="preserve"> </v>
      </c>
      <c r="Q71" s="55" t="str">
        <f t="shared" si="29"/>
        <v xml:space="preserve"> </v>
      </c>
      <c r="R71" s="55" t="str">
        <f t="shared" si="29"/>
        <v xml:space="preserve"> </v>
      </c>
      <c r="S71" s="55" t="str">
        <f t="shared" si="29"/>
        <v xml:space="preserve"> </v>
      </c>
      <c r="T71" s="5"/>
      <c r="U71" s="5"/>
      <c r="V71" s="5"/>
      <c r="W71" s="5"/>
      <c r="X71" s="5"/>
      <c r="Y71" s="5"/>
      <c r="Z71" s="5"/>
    </row>
    <row r="72" spans="1:26" ht="12" hidden="1" customHeight="1" x14ac:dyDescent="0.25">
      <c r="A72" s="5"/>
      <c r="B72" s="5"/>
      <c r="C72" s="5"/>
      <c r="D72" s="5"/>
      <c r="E72" s="55" t="str">
        <f t="shared" ref="E72:S72" si="30">IF(ISBLANK(E33), " ",IF(ISTEXT(E33),0,E33))</f>
        <v xml:space="preserve"> </v>
      </c>
      <c r="F72" s="55" t="str">
        <f t="shared" si="30"/>
        <v xml:space="preserve"> </v>
      </c>
      <c r="G72" s="55" t="str">
        <f t="shared" si="30"/>
        <v xml:space="preserve"> </v>
      </c>
      <c r="H72" s="55" t="str">
        <f t="shared" si="30"/>
        <v xml:space="preserve"> </v>
      </c>
      <c r="I72" s="55" t="str">
        <f t="shared" si="30"/>
        <v xml:space="preserve"> </v>
      </c>
      <c r="J72" s="55" t="str">
        <f t="shared" si="30"/>
        <v xml:space="preserve"> </v>
      </c>
      <c r="K72" s="55" t="str">
        <f t="shared" si="30"/>
        <v xml:space="preserve"> </v>
      </c>
      <c r="L72" s="55" t="str">
        <f t="shared" si="30"/>
        <v xml:space="preserve"> </v>
      </c>
      <c r="M72" s="55" t="str">
        <f t="shared" si="30"/>
        <v xml:space="preserve"> </v>
      </c>
      <c r="N72" s="55" t="str">
        <f t="shared" si="30"/>
        <v xml:space="preserve"> </v>
      </c>
      <c r="O72" s="55" t="str">
        <f t="shared" si="30"/>
        <v xml:space="preserve"> </v>
      </c>
      <c r="P72" s="55" t="str">
        <f t="shared" si="30"/>
        <v xml:space="preserve"> </v>
      </c>
      <c r="Q72" s="55" t="str">
        <f t="shared" si="30"/>
        <v xml:space="preserve"> </v>
      </c>
      <c r="R72" s="55" t="str">
        <f t="shared" si="30"/>
        <v xml:space="preserve"> </v>
      </c>
      <c r="S72" s="55" t="str">
        <f t="shared" si="30"/>
        <v xml:space="preserve"> </v>
      </c>
      <c r="T72" s="5"/>
      <c r="U72" s="5"/>
      <c r="V72" s="5"/>
      <c r="W72" s="5"/>
      <c r="X72" s="5"/>
      <c r="Y72" s="5"/>
      <c r="Z72" s="5"/>
    </row>
    <row r="73" spans="1:26" ht="12" hidden="1" customHeight="1" x14ac:dyDescent="0.25">
      <c r="A73" s="5"/>
      <c r="B73" s="5"/>
      <c r="C73" s="5"/>
      <c r="D73" s="5"/>
      <c r="E73" s="55" t="str">
        <f t="shared" ref="E73:S73" si="31">IF(ISBLANK(E34), " ",IF(ISTEXT(E34),0,E34))</f>
        <v xml:space="preserve"> </v>
      </c>
      <c r="F73" s="55" t="str">
        <f t="shared" si="31"/>
        <v xml:space="preserve"> </v>
      </c>
      <c r="G73" s="55" t="str">
        <f t="shared" si="31"/>
        <v xml:space="preserve"> </v>
      </c>
      <c r="H73" s="55" t="str">
        <f t="shared" si="31"/>
        <v xml:space="preserve"> </v>
      </c>
      <c r="I73" s="55" t="str">
        <f t="shared" si="31"/>
        <v xml:space="preserve"> </v>
      </c>
      <c r="J73" s="55" t="str">
        <f t="shared" si="31"/>
        <v xml:space="preserve"> </v>
      </c>
      <c r="K73" s="55" t="str">
        <f t="shared" si="31"/>
        <v xml:space="preserve"> </v>
      </c>
      <c r="L73" s="55" t="str">
        <f t="shared" si="31"/>
        <v xml:space="preserve"> </v>
      </c>
      <c r="M73" s="55" t="str">
        <f t="shared" si="31"/>
        <v xml:space="preserve"> </v>
      </c>
      <c r="N73" s="55" t="str">
        <f t="shared" si="31"/>
        <v xml:space="preserve"> </v>
      </c>
      <c r="O73" s="55" t="str">
        <f t="shared" si="31"/>
        <v xml:space="preserve"> </v>
      </c>
      <c r="P73" s="55" t="str">
        <f t="shared" si="31"/>
        <v xml:space="preserve"> </v>
      </c>
      <c r="Q73" s="55" t="str">
        <f t="shared" si="31"/>
        <v xml:space="preserve"> </v>
      </c>
      <c r="R73" s="55" t="str">
        <f t="shared" si="31"/>
        <v xml:space="preserve"> </v>
      </c>
      <c r="S73" s="55" t="str">
        <f t="shared" si="31"/>
        <v xml:space="preserve"> </v>
      </c>
      <c r="T73" s="5"/>
      <c r="U73" s="5"/>
      <c r="V73" s="5"/>
      <c r="W73" s="5"/>
      <c r="X73" s="5"/>
      <c r="Y73" s="5"/>
      <c r="Z73" s="5"/>
    </row>
    <row r="74" spans="1:26" ht="12" hidden="1" customHeight="1" x14ac:dyDescent="0.25">
      <c r="A74" s="5"/>
      <c r="B74" s="5"/>
      <c r="C74" s="5"/>
      <c r="D74" s="5"/>
      <c r="E74" s="55" t="str">
        <f t="shared" ref="E74:S74" si="32">IF(ISBLANK(E35), " ",IF(ISTEXT(E35),0,E35))</f>
        <v xml:space="preserve"> </v>
      </c>
      <c r="F74" s="55" t="str">
        <f t="shared" si="32"/>
        <v xml:space="preserve"> </v>
      </c>
      <c r="G74" s="55" t="str">
        <f t="shared" si="32"/>
        <v xml:space="preserve"> </v>
      </c>
      <c r="H74" s="55" t="str">
        <f t="shared" si="32"/>
        <v xml:space="preserve"> </v>
      </c>
      <c r="I74" s="55" t="str">
        <f t="shared" si="32"/>
        <v xml:space="preserve"> </v>
      </c>
      <c r="J74" s="55" t="str">
        <f t="shared" si="32"/>
        <v xml:space="preserve"> </v>
      </c>
      <c r="K74" s="55" t="str">
        <f t="shared" si="32"/>
        <v xml:space="preserve"> </v>
      </c>
      <c r="L74" s="55" t="str">
        <f t="shared" si="32"/>
        <v xml:space="preserve"> </v>
      </c>
      <c r="M74" s="55" t="str">
        <f t="shared" si="32"/>
        <v xml:space="preserve"> </v>
      </c>
      <c r="N74" s="55" t="str">
        <f t="shared" si="32"/>
        <v xml:space="preserve"> </v>
      </c>
      <c r="O74" s="55" t="str">
        <f t="shared" si="32"/>
        <v xml:space="preserve"> </v>
      </c>
      <c r="P74" s="55" t="str">
        <f t="shared" si="32"/>
        <v xml:space="preserve"> </v>
      </c>
      <c r="Q74" s="55" t="str">
        <f t="shared" si="32"/>
        <v xml:space="preserve"> </v>
      </c>
      <c r="R74" s="55" t="str">
        <f t="shared" si="32"/>
        <v xml:space="preserve"> </v>
      </c>
      <c r="S74" s="55" t="str">
        <f t="shared" si="32"/>
        <v xml:space="preserve"> </v>
      </c>
      <c r="T74" s="5"/>
      <c r="U74" s="5"/>
      <c r="V74" s="5"/>
      <c r="W74" s="5"/>
      <c r="X74" s="5"/>
      <c r="Y74" s="5"/>
      <c r="Z74" s="5"/>
    </row>
    <row r="75" spans="1:26" ht="12" hidden="1" customHeight="1" x14ac:dyDescent="0.25">
      <c r="A75" s="5"/>
      <c r="B75" s="5"/>
      <c r="C75" s="5"/>
      <c r="D75" s="5"/>
      <c r="E75" s="55" t="str">
        <f t="shared" ref="E75:S75" si="33">IF(ISBLANK(E36), " ",IF(ISTEXT(E36),0,E36))</f>
        <v xml:space="preserve"> </v>
      </c>
      <c r="F75" s="55" t="str">
        <f t="shared" si="33"/>
        <v xml:space="preserve"> </v>
      </c>
      <c r="G75" s="55" t="str">
        <f t="shared" si="33"/>
        <v xml:space="preserve"> </v>
      </c>
      <c r="H75" s="55" t="str">
        <f t="shared" si="33"/>
        <v xml:space="preserve"> </v>
      </c>
      <c r="I75" s="55" t="str">
        <f t="shared" si="33"/>
        <v xml:space="preserve"> </v>
      </c>
      <c r="J75" s="55" t="str">
        <f t="shared" si="33"/>
        <v xml:space="preserve"> </v>
      </c>
      <c r="K75" s="55" t="str">
        <f t="shared" si="33"/>
        <v xml:space="preserve"> </v>
      </c>
      <c r="L75" s="55" t="str">
        <f t="shared" si="33"/>
        <v xml:space="preserve"> </v>
      </c>
      <c r="M75" s="55" t="str">
        <f t="shared" si="33"/>
        <v xml:space="preserve"> </v>
      </c>
      <c r="N75" s="55" t="str">
        <f t="shared" si="33"/>
        <v xml:space="preserve"> </v>
      </c>
      <c r="O75" s="55" t="str">
        <f t="shared" si="33"/>
        <v xml:space="preserve"> </v>
      </c>
      <c r="P75" s="55" t="str">
        <f t="shared" si="33"/>
        <v xml:space="preserve"> </v>
      </c>
      <c r="Q75" s="55" t="str">
        <f t="shared" si="33"/>
        <v xml:space="preserve"> </v>
      </c>
      <c r="R75" s="55" t="str">
        <f t="shared" si="33"/>
        <v xml:space="preserve"> </v>
      </c>
      <c r="S75" s="55" t="str">
        <f t="shared" si="33"/>
        <v xml:space="preserve"> </v>
      </c>
      <c r="T75" s="5"/>
      <c r="U75" s="5"/>
      <c r="V75" s="5"/>
      <c r="W75" s="5"/>
      <c r="X75" s="5"/>
      <c r="Y75" s="5"/>
      <c r="Z75" s="5"/>
    </row>
    <row r="76" spans="1:26" ht="12" hidden="1" customHeight="1" x14ac:dyDescent="0.25">
      <c r="A76" s="5"/>
      <c r="B76" s="5"/>
      <c r="C76" s="5" t="s">
        <v>24</v>
      </c>
      <c r="D76" s="5"/>
      <c r="E76" s="56" t="str">
        <f t="shared" ref="E76:S76" si="34">IF(ISBLANK(E6)," ",IF(ISTEXT(E6),1,E6))</f>
        <v xml:space="preserve"> </v>
      </c>
      <c r="F76" s="56" t="str">
        <f t="shared" si="34"/>
        <v xml:space="preserve"> </v>
      </c>
      <c r="G76" s="56" t="str">
        <f t="shared" si="34"/>
        <v xml:space="preserve"> </v>
      </c>
      <c r="H76" s="56" t="str">
        <f t="shared" si="34"/>
        <v xml:space="preserve"> </v>
      </c>
      <c r="I76" s="56" t="str">
        <f t="shared" si="34"/>
        <v xml:space="preserve"> </v>
      </c>
      <c r="J76" s="56" t="str">
        <f t="shared" si="34"/>
        <v xml:space="preserve"> </v>
      </c>
      <c r="K76" s="56" t="str">
        <f t="shared" si="34"/>
        <v xml:space="preserve"> </v>
      </c>
      <c r="L76" s="56" t="str">
        <f t="shared" si="34"/>
        <v xml:space="preserve"> </v>
      </c>
      <c r="M76" s="56" t="str">
        <f t="shared" si="34"/>
        <v xml:space="preserve"> </v>
      </c>
      <c r="N76" s="56" t="str">
        <f t="shared" si="34"/>
        <v xml:space="preserve"> </v>
      </c>
      <c r="O76" s="56" t="str">
        <f t="shared" si="34"/>
        <v xml:space="preserve"> </v>
      </c>
      <c r="P76" s="56" t="str">
        <f t="shared" si="34"/>
        <v xml:space="preserve"> </v>
      </c>
      <c r="Q76" s="56" t="str">
        <f t="shared" si="34"/>
        <v xml:space="preserve"> </v>
      </c>
      <c r="R76" s="56" t="str">
        <f t="shared" si="34"/>
        <v xml:space="preserve"> </v>
      </c>
      <c r="S76" s="56" t="str">
        <f t="shared" si="34"/>
        <v xml:space="preserve"> </v>
      </c>
      <c r="T76" s="5"/>
      <c r="U76" s="5"/>
      <c r="V76" s="5"/>
      <c r="W76" s="5"/>
      <c r="X76" s="5"/>
      <c r="Y76" s="5"/>
      <c r="Z76" s="5"/>
    </row>
    <row r="77" spans="1:26" ht="12" hidden="1" customHeight="1" x14ac:dyDescent="0.25">
      <c r="A77" s="5"/>
      <c r="B77" s="5"/>
      <c r="C77" s="5"/>
      <c r="D77" s="5"/>
      <c r="E77" s="56" t="str">
        <f t="shared" ref="E77:S77" si="35">IF(ISBLANK(E7)," ",IF(ISTEXT(E7),1,E7))</f>
        <v xml:space="preserve"> </v>
      </c>
      <c r="F77" s="56" t="str">
        <f t="shared" si="35"/>
        <v xml:space="preserve"> </v>
      </c>
      <c r="G77" s="56" t="str">
        <f t="shared" si="35"/>
        <v xml:space="preserve"> </v>
      </c>
      <c r="H77" s="56" t="str">
        <f t="shared" si="35"/>
        <v xml:space="preserve"> </v>
      </c>
      <c r="I77" s="56" t="str">
        <f t="shared" si="35"/>
        <v xml:space="preserve"> </v>
      </c>
      <c r="J77" s="56" t="str">
        <f t="shared" si="35"/>
        <v xml:space="preserve"> </v>
      </c>
      <c r="K77" s="56" t="str">
        <f t="shared" si="35"/>
        <v xml:space="preserve"> </v>
      </c>
      <c r="L77" s="56" t="str">
        <f t="shared" si="35"/>
        <v xml:space="preserve"> </v>
      </c>
      <c r="M77" s="56" t="str">
        <f t="shared" si="35"/>
        <v xml:space="preserve"> </v>
      </c>
      <c r="N77" s="56" t="str">
        <f t="shared" si="35"/>
        <v xml:space="preserve"> </v>
      </c>
      <c r="O77" s="56" t="str">
        <f t="shared" si="35"/>
        <v xml:space="preserve"> </v>
      </c>
      <c r="P77" s="56" t="str">
        <f t="shared" si="35"/>
        <v xml:space="preserve"> </v>
      </c>
      <c r="Q77" s="56" t="str">
        <f t="shared" si="35"/>
        <v xml:space="preserve"> </v>
      </c>
      <c r="R77" s="56" t="str">
        <f t="shared" si="35"/>
        <v xml:space="preserve"> </v>
      </c>
      <c r="S77" s="56" t="str">
        <f t="shared" si="35"/>
        <v xml:space="preserve"> </v>
      </c>
      <c r="T77" s="5"/>
      <c r="U77" s="5"/>
      <c r="V77" s="5"/>
      <c r="W77" s="5"/>
      <c r="X77" s="5"/>
      <c r="Y77" s="5"/>
      <c r="Z77" s="5"/>
    </row>
    <row r="78" spans="1:26" ht="12" hidden="1" customHeight="1" x14ac:dyDescent="0.25">
      <c r="A78" s="5"/>
      <c r="B78" s="5"/>
      <c r="C78" s="5"/>
      <c r="D78" s="5"/>
      <c r="E78" s="56" t="str">
        <f t="shared" ref="E78:S78" si="36">IF(ISBLANK(E8)," ",IF(ISTEXT(E8),1,E8))</f>
        <v xml:space="preserve"> </v>
      </c>
      <c r="F78" s="56" t="str">
        <f t="shared" si="36"/>
        <v xml:space="preserve"> </v>
      </c>
      <c r="G78" s="56" t="str">
        <f t="shared" si="36"/>
        <v xml:space="preserve"> </v>
      </c>
      <c r="H78" s="56" t="str">
        <f t="shared" si="36"/>
        <v xml:space="preserve"> </v>
      </c>
      <c r="I78" s="56" t="str">
        <f t="shared" si="36"/>
        <v xml:space="preserve"> </v>
      </c>
      <c r="J78" s="56" t="str">
        <f t="shared" si="36"/>
        <v xml:space="preserve"> </v>
      </c>
      <c r="K78" s="56" t="str">
        <f t="shared" si="36"/>
        <v xml:space="preserve"> </v>
      </c>
      <c r="L78" s="56" t="str">
        <f t="shared" si="36"/>
        <v xml:space="preserve"> </v>
      </c>
      <c r="M78" s="56" t="str">
        <f t="shared" si="36"/>
        <v xml:space="preserve"> </v>
      </c>
      <c r="N78" s="56" t="str">
        <f t="shared" si="36"/>
        <v xml:space="preserve"> </v>
      </c>
      <c r="O78" s="56" t="str">
        <f t="shared" si="36"/>
        <v xml:space="preserve"> </v>
      </c>
      <c r="P78" s="56" t="str">
        <f t="shared" si="36"/>
        <v xml:space="preserve"> </v>
      </c>
      <c r="Q78" s="56" t="str">
        <f t="shared" si="36"/>
        <v xml:space="preserve"> </v>
      </c>
      <c r="R78" s="56" t="str">
        <f t="shared" si="36"/>
        <v xml:space="preserve"> </v>
      </c>
      <c r="S78" s="56" t="str">
        <f t="shared" si="36"/>
        <v xml:space="preserve"> </v>
      </c>
      <c r="T78" s="5"/>
      <c r="U78" s="5"/>
      <c r="V78" s="5"/>
      <c r="W78" s="5"/>
      <c r="X78" s="5"/>
      <c r="Y78" s="5"/>
      <c r="Z78" s="5"/>
    </row>
    <row r="79" spans="1:26" ht="12" hidden="1" customHeight="1" x14ac:dyDescent="0.25">
      <c r="A79" s="5"/>
      <c r="B79" s="5"/>
      <c r="C79" s="5"/>
      <c r="D79" s="5"/>
      <c r="E79" s="56" t="str">
        <f t="shared" ref="E79:S79" si="37">IF(ISBLANK(E9)," ",IF(ISTEXT(E9),1,E9))</f>
        <v xml:space="preserve"> </v>
      </c>
      <c r="F79" s="56" t="str">
        <f t="shared" si="37"/>
        <v xml:space="preserve"> </v>
      </c>
      <c r="G79" s="56" t="str">
        <f t="shared" si="37"/>
        <v xml:space="preserve"> </v>
      </c>
      <c r="H79" s="56" t="str">
        <f t="shared" si="37"/>
        <v xml:space="preserve"> </v>
      </c>
      <c r="I79" s="56" t="str">
        <f t="shared" si="37"/>
        <v xml:space="preserve"> </v>
      </c>
      <c r="J79" s="56" t="str">
        <f t="shared" si="37"/>
        <v xml:space="preserve"> </v>
      </c>
      <c r="K79" s="56" t="str">
        <f t="shared" si="37"/>
        <v xml:space="preserve"> </v>
      </c>
      <c r="L79" s="56" t="str">
        <f t="shared" si="37"/>
        <v xml:space="preserve"> </v>
      </c>
      <c r="M79" s="56" t="str">
        <f t="shared" si="37"/>
        <v xml:space="preserve"> </v>
      </c>
      <c r="N79" s="56" t="str">
        <f t="shared" si="37"/>
        <v xml:space="preserve"> </v>
      </c>
      <c r="O79" s="56" t="str">
        <f t="shared" si="37"/>
        <v xml:space="preserve"> </v>
      </c>
      <c r="P79" s="56" t="str">
        <f t="shared" si="37"/>
        <v xml:space="preserve"> </v>
      </c>
      <c r="Q79" s="56" t="str">
        <f t="shared" si="37"/>
        <v xml:space="preserve"> </v>
      </c>
      <c r="R79" s="56" t="str">
        <f t="shared" si="37"/>
        <v xml:space="preserve"> </v>
      </c>
      <c r="S79" s="56" t="str">
        <f t="shared" si="37"/>
        <v xml:space="preserve"> </v>
      </c>
      <c r="T79" s="5"/>
      <c r="U79" s="5"/>
      <c r="V79" s="5"/>
      <c r="W79" s="5"/>
      <c r="X79" s="5"/>
      <c r="Y79" s="5"/>
      <c r="Z79" s="5"/>
    </row>
    <row r="80" spans="1:26" ht="12" hidden="1" customHeight="1" x14ac:dyDescent="0.25">
      <c r="A80" s="5"/>
      <c r="B80" s="5"/>
      <c r="C80" s="5"/>
      <c r="D80" s="5"/>
      <c r="E80" s="56" t="str">
        <f t="shared" ref="E80:S80" si="38">IF(ISBLANK(E10)," ",IF(ISTEXT(E10),1,E10))</f>
        <v xml:space="preserve"> </v>
      </c>
      <c r="F80" s="56" t="str">
        <f t="shared" si="38"/>
        <v xml:space="preserve"> </v>
      </c>
      <c r="G80" s="56" t="str">
        <f t="shared" si="38"/>
        <v xml:space="preserve"> </v>
      </c>
      <c r="H80" s="56" t="str">
        <f t="shared" si="38"/>
        <v xml:space="preserve"> </v>
      </c>
      <c r="I80" s="56" t="str">
        <f t="shared" si="38"/>
        <v xml:space="preserve"> </v>
      </c>
      <c r="J80" s="56" t="str">
        <f t="shared" si="38"/>
        <v xml:space="preserve"> </v>
      </c>
      <c r="K80" s="56" t="str">
        <f t="shared" si="38"/>
        <v xml:space="preserve"> </v>
      </c>
      <c r="L80" s="56" t="str">
        <f t="shared" si="38"/>
        <v xml:space="preserve"> </v>
      </c>
      <c r="M80" s="56" t="str">
        <f t="shared" si="38"/>
        <v xml:space="preserve"> </v>
      </c>
      <c r="N80" s="56" t="str">
        <f t="shared" si="38"/>
        <v xml:space="preserve"> </v>
      </c>
      <c r="O80" s="56" t="str">
        <f t="shared" si="38"/>
        <v xml:space="preserve"> </v>
      </c>
      <c r="P80" s="56" t="str">
        <f t="shared" si="38"/>
        <v xml:space="preserve"> </v>
      </c>
      <c r="Q80" s="56" t="str">
        <f t="shared" si="38"/>
        <v xml:space="preserve"> </v>
      </c>
      <c r="R80" s="56" t="str">
        <f t="shared" si="38"/>
        <v xml:space="preserve"> </v>
      </c>
      <c r="S80" s="56" t="str">
        <f t="shared" si="38"/>
        <v xml:space="preserve"> </v>
      </c>
      <c r="T80" s="5"/>
      <c r="U80" s="5"/>
      <c r="V80" s="5"/>
      <c r="W80" s="5"/>
      <c r="X80" s="5"/>
      <c r="Y80" s="5"/>
      <c r="Z80" s="5"/>
    </row>
    <row r="81" spans="1:26" ht="12" hidden="1" customHeight="1" x14ac:dyDescent="0.25">
      <c r="A81" s="5"/>
      <c r="B81" s="5"/>
      <c r="C81" s="5"/>
      <c r="D81" s="5"/>
      <c r="E81" s="56" t="str">
        <f t="shared" ref="E81:S81" si="39">IF(ISBLANK(E11)," ",IF(ISTEXT(E11),1,E11))</f>
        <v xml:space="preserve"> </v>
      </c>
      <c r="F81" s="56" t="str">
        <f t="shared" si="39"/>
        <v xml:space="preserve"> </v>
      </c>
      <c r="G81" s="56" t="str">
        <f t="shared" si="39"/>
        <v xml:space="preserve"> </v>
      </c>
      <c r="H81" s="56" t="str">
        <f t="shared" si="39"/>
        <v xml:space="preserve"> </v>
      </c>
      <c r="I81" s="56" t="str">
        <f t="shared" si="39"/>
        <v xml:space="preserve"> </v>
      </c>
      <c r="J81" s="56" t="str">
        <f t="shared" si="39"/>
        <v xml:space="preserve"> </v>
      </c>
      <c r="K81" s="56" t="str">
        <f t="shared" si="39"/>
        <v xml:space="preserve"> </v>
      </c>
      <c r="L81" s="56" t="str">
        <f t="shared" si="39"/>
        <v xml:space="preserve"> </v>
      </c>
      <c r="M81" s="56" t="str">
        <f t="shared" si="39"/>
        <v xml:space="preserve"> </v>
      </c>
      <c r="N81" s="56" t="str">
        <f t="shared" si="39"/>
        <v xml:space="preserve"> </v>
      </c>
      <c r="O81" s="56" t="str">
        <f t="shared" si="39"/>
        <v xml:space="preserve"> </v>
      </c>
      <c r="P81" s="56" t="str">
        <f t="shared" si="39"/>
        <v xml:space="preserve"> </v>
      </c>
      <c r="Q81" s="56" t="str">
        <f t="shared" si="39"/>
        <v xml:space="preserve"> </v>
      </c>
      <c r="R81" s="56" t="str">
        <f t="shared" si="39"/>
        <v xml:space="preserve"> </v>
      </c>
      <c r="S81" s="56" t="str">
        <f t="shared" si="39"/>
        <v xml:space="preserve"> </v>
      </c>
      <c r="T81" s="5"/>
      <c r="U81" s="5"/>
      <c r="V81" s="5"/>
      <c r="W81" s="5"/>
      <c r="X81" s="5"/>
      <c r="Y81" s="5"/>
      <c r="Z81" s="5"/>
    </row>
    <row r="82" spans="1:26" ht="12" hidden="1" customHeight="1" x14ac:dyDescent="0.25">
      <c r="A82" s="5"/>
      <c r="B82" s="5"/>
      <c r="C82" s="5"/>
      <c r="D82" s="5"/>
      <c r="E82" s="56" t="str">
        <f t="shared" ref="E82:S82" si="40">IF(ISBLANK(E12)," ",IF(ISTEXT(E12),1,E12))</f>
        <v xml:space="preserve"> </v>
      </c>
      <c r="F82" s="56" t="str">
        <f t="shared" si="40"/>
        <v xml:space="preserve"> </v>
      </c>
      <c r="G82" s="56" t="str">
        <f t="shared" si="40"/>
        <v xml:space="preserve"> </v>
      </c>
      <c r="H82" s="56" t="str">
        <f t="shared" si="40"/>
        <v xml:space="preserve"> </v>
      </c>
      <c r="I82" s="56" t="str">
        <f t="shared" si="40"/>
        <v xml:space="preserve"> </v>
      </c>
      <c r="J82" s="56" t="str">
        <f t="shared" si="40"/>
        <v xml:space="preserve"> </v>
      </c>
      <c r="K82" s="56" t="str">
        <f t="shared" si="40"/>
        <v xml:space="preserve"> </v>
      </c>
      <c r="L82" s="56" t="str">
        <f t="shared" si="40"/>
        <v xml:space="preserve"> </v>
      </c>
      <c r="M82" s="56" t="str">
        <f t="shared" si="40"/>
        <v xml:space="preserve"> </v>
      </c>
      <c r="N82" s="56" t="str">
        <f t="shared" si="40"/>
        <v xml:space="preserve"> </v>
      </c>
      <c r="O82" s="56" t="str">
        <f t="shared" si="40"/>
        <v xml:space="preserve"> </v>
      </c>
      <c r="P82" s="56" t="str">
        <f t="shared" si="40"/>
        <v xml:space="preserve"> </v>
      </c>
      <c r="Q82" s="56" t="str">
        <f t="shared" si="40"/>
        <v xml:space="preserve"> </v>
      </c>
      <c r="R82" s="56" t="str">
        <f t="shared" si="40"/>
        <v xml:space="preserve"> </v>
      </c>
      <c r="S82" s="56" t="str">
        <f t="shared" si="40"/>
        <v xml:space="preserve"> </v>
      </c>
      <c r="T82" s="5"/>
      <c r="U82" s="5"/>
      <c r="V82" s="5"/>
      <c r="W82" s="5"/>
      <c r="X82" s="5"/>
      <c r="Y82" s="5"/>
      <c r="Z82" s="5"/>
    </row>
    <row r="83" spans="1:26" ht="12" hidden="1" customHeight="1" x14ac:dyDescent="0.25">
      <c r="A83" s="5"/>
      <c r="B83" s="5"/>
      <c r="C83" s="5"/>
      <c r="D83" s="5"/>
      <c r="E83" s="56" t="str">
        <f t="shared" ref="E83:S83" si="41">IF(ISBLANK(E13)," ",IF(ISTEXT(E13),1,E13))</f>
        <v xml:space="preserve"> </v>
      </c>
      <c r="F83" s="56" t="str">
        <f t="shared" si="41"/>
        <v xml:space="preserve"> </v>
      </c>
      <c r="G83" s="56" t="str">
        <f t="shared" si="41"/>
        <v xml:space="preserve"> </v>
      </c>
      <c r="H83" s="56" t="str">
        <f t="shared" si="41"/>
        <v xml:space="preserve"> </v>
      </c>
      <c r="I83" s="56" t="str">
        <f t="shared" si="41"/>
        <v xml:space="preserve"> </v>
      </c>
      <c r="J83" s="56" t="str">
        <f t="shared" si="41"/>
        <v xml:space="preserve"> </v>
      </c>
      <c r="K83" s="56" t="str">
        <f t="shared" si="41"/>
        <v xml:space="preserve"> </v>
      </c>
      <c r="L83" s="56" t="str">
        <f t="shared" si="41"/>
        <v xml:space="preserve"> </v>
      </c>
      <c r="M83" s="56" t="str">
        <f t="shared" si="41"/>
        <v xml:space="preserve"> </v>
      </c>
      <c r="N83" s="56" t="str">
        <f t="shared" si="41"/>
        <v xml:space="preserve"> </v>
      </c>
      <c r="O83" s="56" t="str">
        <f t="shared" si="41"/>
        <v xml:space="preserve"> </v>
      </c>
      <c r="P83" s="56" t="str">
        <f t="shared" si="41"/>
        <v xml:space="preserve"> </v>
      </c>
      <c r="Q83" s="56" t="str">
        <f t="shared" si="41"/>
        <v xml:space="preserve"> </v>
      </c>
      <c r="R83" s="56" t="str">
        <f t="shared" si="41"/>
        <v xml:space="preserve"> </v>
      </c>
      <c r="S83" s="56" t="str">
        <f t="shared" si="41"/>
        <v xml:space="preserve"> </v>
      </c>
      <c r="T83" s="5"/>
      <c r="U83" s="5"/>
      <c r="V83" s="5"/>
      <c r="W83" s="5"/>
      <c r="X83" s="5"/>
      <c r="Y83" s="5"/>
      <c r="Z83" s="5"/>
    </row>
    <row r="84" spans="1:26" ht="12" hidden="1" customHeight="1" x14ac:dyDescent="0.25">
      <c r="A84" s="5"/>
      <c r="B84" s="5"/>
      <c r="C84" s="5"/>
      <c r="D84" s="5"/>
      <c r="E84" s="56" t="str">
        <f t="shared" ref="E84:S84" si="42">IF(ISBLANK(E14)," ",IF(ISTEXT(E14),1,E14))</f>
        <v xml:space="preserve"> </v>
      </c>
      <c r="F84" s="56" t="str">
        <f t="shared" si="42"/>
        <v xml:space="preserve"> </v>
      </c>
      <c r="G84" s="56" t="str">
        <f t="shared" si="42"/>
        <v xml:space="preserve"> </v>
      </c>
      <c r="H84" s="56" t="str">
        <f t="shared" si="42"/>
        <v xml:space="preserve"> </v>
      </c>
      <c r="I84" s="56" t="str">
        <f t="shared" si="42"/>
        <v xml:space="preserve"> </v>
      </c>
      <c r="J84" s="56" t="str">
        <f t="shared" si="42"/>
        <v xml:space="preserve"> </v>
      </c>
      <c r="K84" s="56" t="str">
        <f t="shared" si="42"/>
        <v xml:space="preserve"> </v>
      </c>
      <c r="L84" s="56" t="str">
        <f t="shared" si="42"/>
        <v xml:space="preserve"> </v>
      </c>
      <c r="M84" s="56" t="str">
        <f t="shared" si="42"/>
        <v xml:space="preserve"> </v>
      </c>
      <c r="N84" s="56" t="str">
        <f t="shared" si="42"/>
        <v xml:space="preserve"> </v>
      </c>
      <c r="O84" s="56" t="str">
        <f t="shared" si="42"/>
        <v xml:space="preserve"> </v>
      </c>
      <c r="P84" s="56" t="str">
        <f t="shared" si="42"/>
        <v xml:space="preserve"> </v>
      </c>
      <c r="Q84" s="56" t="str">
        <f t="shared" si="42"/>
        <v xml:space="preserve"> </v>
      </c>
      <c r="R84" s="56" t="str">
        <f t="shared" si="42"/>
        <v xml:space="preserve"> </v>
      </c>
      <c r="S84" s="56" t="str">
        <f t="shared" si="42"/>
        <v xml:space="preserve"> </v>
      </c>
      <c r="T84" s="5"/>
      <c r="U84" s="5"/>
      <c r="V84" s="5"/>
      <c r="W84" s="5"/>
      <c r="X84" s="5"/>
      <c r="Y84" s="5"/>
      <c r="Z84" s="5"/>
    </row>
    <row r="85" spans="1:26" ht="12" hidden="1" customHeight="1" x14ac:dyDescent="0.25">
      <c r="A85" s="5"/>
      <c r="B85" s="5"/>
      <c r="C85" s="5"/>
      <c r="D85" s="5"/>
      <c r="E85" s="56" t="str">
        <f t="shared" ref="E85:S85" si="43">IF(ISBLANK(E15)," ",IF(ISTEXT(E15),1,E15))</f>
        <v xml:space="preserve"> </v>
      </c>
      <c r="F85" s="56" t="str">
        <f t="shared" si="43"/>
        <v xml:space="preserve"> </v>
      </c>
      <c r="G85" s="56" t="str">
        <f t="shared" si="43"/>
        <v xml:space="preserve"> </v>
      </c>
      <c r="H85" s="56" t="str">
        <f t="shared" si="43"/>
        <v xml:space="preserve"> </v>
      </c>
      <c r="I85" s="56" t="str">
        <f t="shared" si="43"/>
        <v xml:space="preserve"> </v>
      </c>
      <c r="J85" s="56" t="str">
        <f t="shared" si="43"/>
        <v xml:space="preserve"> </v>
      </c>
      <c r="K85" s="56" t="str">
        <f t="shared" si="43"/>
        <v xml:space="preserve"> </v>
      </c>
      <c r="L85" s="56" t="str">
        <f t="shared" si="43"/>
        <v xml:space="preserve"> </v>
      </c>
      <c r="M85" s="56" t="str">
        <f t="shared" si="43"/>
        <v xml:space="preserve"> </v>
      </c>
      <c r="N85" s="56" t="str">
        <f t="shared" si="43"/>
        <v xml:space="preserve"> </v>
      </c>
      <c r="O85" s="56" t="str">
        <f t="shared" si="43"/>
        <v xml:space="preserve"> </v>
      </c>
      <c r="P85" s="56" t="str">
        <f t="shared" si="43"/>
        <v xml:space="preserve"> </v>
      </c>
      <c r="Q85" s="56" t="str">
        <f t="shared" si="43"/>
        <v xml:space="preserve"> </v>
      </c>
      <c r="R85" s="56" t="str">
        <f t="shared" si="43"/>
        <v xml:space="preserve"> </v>
      </c>
      <c r="S85" s="56" t="str">
        <f t="shared" si="43"/>
        <v xml:space="preserve"> </v>
      </c>
      <c r="T85" s="5"/>
      <c r="U85" s="5"/>
      <c r="V85" s="5"/>
      <c r="W85" s="5"/>
      <c r="X85" s="5"/>
      <c r="Y85" s="5"/>
      <c r="Z85" s="5"/>
    </row>
    <row r="86" spans="1:26" ht="12" hidden="1" customHeight="1" x14ac:dyDescent="0.25">
      <c r="A86" s="5"/>
      <c r="B86" s="5"/>
      <c r="C86" s="5"/>
      <c r="D86" s="5"/>
      <c r="E86" s="56" t="str">
        <f t="shared" ref="E86:S86" si="44">IF(ISBLANK(E16)," ",IF(ISTEXT(E16),1,E16))</f>
        <v xml:space="preserve"> </v>
      </c>
      <c r="F86" s="56" t="str">
        <f t="shared" si="44"/>
        <v xml:space="preserve"> </v>
      </c>
      <c r="G86" s="56" t="str">
        <f t="shared" si="44"/>
        <v xml:space="preserve"> </v>
      </c>
      <c r="H86" s="56" t="str">
        <f t="shared" si="44"/>
        <v xml:space="preserve"> </v>
      </c>
      <c r="I86" s="56" t="str">
        <f t="shared" si="44"/>
        <v xml:space="preserve"> </v>
      </c>
      <c r="J86" s="56" t="str">
        <f t="shared" si="44"/>
        <v xml:space="preserve"> </v>
      </c>
      <c r="K86" s="56" t="str">
        <f t="shared" si="44"/>
        <v xml:space="preserve"> </v>
      </c>
      <c r="L86" s="56" t="str">
        <f t="shared" si="44"/>
        <v xml:space="preserve"> </v>
      </c>
      <c r="M86" s="56" t="str">
        <f t="shared" si="44"/>
        <v xml:space="preserve"> </v>
      </c>
      <c r="N86" s="56" t="str">
        <f t="shared" si="44"/>
        <v xml:space="preserve"> </v>
      </c>
      <c r="O86" s="56" t="str">
        <f t="shared" si="44"/>
        <v xml:space="preserve"> </v>
      </c>
      <c r="P86" s="56" t="str">
        <f t="shared" si="44"/>
        <v xml:space="preserve"> </v>
      </c>
      <c r="Q86" s="56" t="str">
        <f t="shared" si="44"/>
        <v xml:space="preserve"> </v>
      </c>
      <c r="R86" s="56" t="str">
        <f t="shared" si="44"/>
        <v xml:space="preserve"> </v>
      </c>
      <c r="S86" s="56" t="str">
        <f t="shared" si="44"/>
        <v xml:space="preserve"> </v>
      </c>
      <c r="T86" s="5"/>
      <c r="U86" s="5"/>
      <c r="V86" s="5"/>
      <c r="W86" s="5"/>
      <c r="X86" s="5"/>
      <c r="Y86" s="5"/>
      <c r="Z86" s="5"/>
    </row>
    <row r="87" spans="1:26" ht="12" hidden="1" customHeight="1" x14ac:dyDescent="0.25">
      <c r="A87" s="5"/>
      <c r="B87" s="5"/>
      <c r="C87" s="5"/>
      <c r="D87" s="5"/>
      <c r="E87" s="56" t="str">
        <f t="shared" ref="E87:S87" si="45">IF(ISBLANK(E17)," ",IF(ISTEXT(E17),1,E17))</f>
        <v xml:space="preserve"> </v>
      </c>
      <c r="F87" s="56" t="str">
        <f t="shared" si="45"/>
        <v xml:space="preserve"> </v>
      </c>
      <c r="G87" s="56" t="str">
        <f t="shared" si="45"/>
        <v xml:space="preserve"> </v>
      </c>
      <c r="H87" s="56" t="str">
        <f t="shared" si="45"/>
        <v xml:space="preserve"> </v>
      </c>
      <c r="I87" s="56" t="str">
        <f t="shared" si="45"/>
        <v xml:space="preserve"> </v>
      </c>
      <c r="J87" s="56" t="str">
        <f t="shared" si="45"/>
        <v xml:space="preserve"> </v>
      </c>
      <c r="K87" s="56" t="str">
        <f t="shared" si="45"/>
        <v xml:space="preserve"> </v>
      </c>
      <c r="L87" s="56" t="str">
        <f t="shared" si="45"/>
        <v xml:space="preserve"> </v>
      </c>
      <c r="M87" s="56" t="str">
        <f t="shared" si="45"/>
        <v xml:space="preserve"> </v>
      </c>
      <c r="N87" s="56" t="str">
        <f t="shared" si="45"/>
        <v xml:space="preserve"> </v>
      </c>
      <c r="O87" s="56" t="str">
        <f t="shared" si="45"/>
        <v xml:space="preserve"> </v>
      </c>
      <c r="P87" s="56" t="str">
        <f t="shared" si="45"/>
        <v xml:space="preserve"> </v>
      </c>
      <c r="Q87" s="56" t="str">
        <f t="shared" si="45"/>
        <v xml:space="preserve"> </v>
      </c>
      <c r="R87" s="56" t="str">
        <f t="shared" si="45"/>
        <v xml:space="preserve"> </v>
      </c>
      <c r="S87" s="56" t="str">
        <f t="shared" si="45"/>
        <v xml:space="preserve"> </v>
      </c>
      <c r="T87" s="5"/>
      <c r="U87" s="5"/>
      <c r="V87" s="5"/>
      <c r="W87" s="5"/>
      <c r="X87" s="5"/>
      <c r="Y87" s="5"/>
      <c r="Z87" s="5"/>
    </row>
    <row r="88" spans="1:26" ht="12" hidden="1" customHeight="1" x14ac:dyDescent="0.25">
      <c r="A88" s="5"/>
      <c r="B88" s="5"/>
      <c r="C88" s="5"/>
      <c r="D88" s="5"/>
      <c r="E88" s="56" t="str">
        <f t="shared" ref="E88:S88" si="46">IF(ISBLANK(E18)," ",IF(ISTEXT(E18),1,E18))</f>
        <v xml:space="preserve"> </v>
      </c>
      <c r="F88" s="56" t="str">
        <f t="shared" si="46"/>
        <v xml:space="preserve"> </v>
      </c>
      <c r="G88" s="56" t="str">
        <f t="shared" si="46"/>
        <v xml:space="preserve"> </v>
      </c>
      <c r="H88" s="56" t="str">
        <f t="shared" si="46"/>
        <v xml:space="preserve"> </v>
      </c>
      <c r="I88" s="56" t="str">
        <f t="shared" si="46"/>
        <v xml:space="preserve"> </v>
      </c>
      <c r="J88" s="56" t="str">
        <f t="shared" si="46"/>
        <v xml:space="preserve"> </v>
      </c>
      <c r="K88" s="56" t="str">
        <f t="shared" si="46"/>
        <v xml:space="preserve"> </v>
      </c>
      <c r="L88" s="56" t="str">
        <f t="shared" si="46"/>
        <v xml:space="preserve"> </v>
      </c>
      <c r="M88" s="56" t="str">
        <f t="shared" si="46"/>
        <v xml:space="preserve"> </v>
      </c>
      <c r="N88" s="56" t="str">
        <f t="shared" si="46"/>
        <v xml:space="preserve"> </v>
      </c>
      <c r="O88" s="56" t="str">
        <f t="shared" si="46"/>
        <v xml:space="preserve"> </v>
      </c>
      <c r="P88" s="56" t="str">
        <f t="shared" si="46"/>
        <v xml:space="preserve"> </v>
      </c>
      <c r="Q88" s="56" t="str">
        <f t="shared" si="46"/>
        <v xml:space="preserve"> </v>
      </c>
      <c r="R88" s="56" t="str">
        <f t="shared" si="46"/>
        <v xml:space="preserve"> </v>
      </c>
      <c r="S88" s="56" t="str">
        <f t="shared" si="46"/>
        <v xml:space="preserve"> </v>
      </c>
      <c r="T88" s="5"/>
      <c r="U88" s="5"/>
      <c r="V88" s="5"/>
      <c r="W88" s="5"/>
      <c r="X88" s="5"/>
      <c r="Y88" s="5"/>
      <c r="Z88" s="5"/>
    </row>
    <row r="89" spans="1:26" ht="12" hidden="1" customHeight="1" x14ac:dyDescent="0.25">
      <c r="A89" s="5"/>
      <c r="B89" s="5"/>
      <c r="C89" s="5"/>
      <c r="D89" s="5"/>
      <c r="E89" s="56" t="str">
        <f t="shared" ref="E89:S89" si="47">IF(ISBLANK(E19)," ",IF(ISTEXT(E19),1,E19))</f>
        <v xml:space="preserve"> </v>
      </c>
      <c r="F89" s="56" t="str">
        <f t="shared" si="47"/>
        <v xml:space="preserve"> </v>
      </c>
      <c r="G89" s="56" t="str">
        <f t="shared" si="47"/>
        <v xml:space="preserve"> </v>
      </c>
      <c r="H89" s="56" t="str">
        <f t="shared" si="47"/>
        <v xml:space="preserve"> </v>
      </c>
      <c r="I89" s="56" t="str">
        <f t="shared" si="47"/>
        <v xml:space="preserve"> </v>
      </c>
      <c r="J89" s="56" t="str">
        <f t="shared" si="47"/>
        <v xml:space="preserve"> </v>
      </c>
      <c r="K89" s="56" t="str">
        <f t="shared" si="47"/>
        <v xml:space="preserve"> </v>
      </c>
      <c r="L89" s="56" t="str">
        <f t="shared" si="47"/>
        <v xml:space="preserve"> </v>
      </c>
      <c r="M89" s="56" t="str">
        <f t="shared" si="47"/>
        <v xml:space="preserve"> </v>
      </c>
      <c r="N89" s="56" t="str">
        <f t="shared" si="47"/>
        <v xml:space="preserve"> </v>
      </c>
      <c r="O89" s="56" t="str">
        <f t="shared" si="47"/>
        <v xml:space="preserve"> </v>
      </c>
      <c r="P89" s="56" t="str">
        <f t="shared" si="47"/>
        <v xml:space="preserve"> </v>
      </c>
      <c r="Q89" s="56" t="str">
        <f t="shared" si="47"/>
        <v xml:space="preserve"> </v>
      </c>
      <c r="R89" s="56" t="str">
        <f t="shared" si="47"/>
        <v xml:space="preserve"> </v>
      </c>
      <c r="S89" s="56" t="str">
        <f t="shared" si="47"/>
        <v xml:space="preserve"> </v>
      </c>
      <c r="T89" s="5"/>
      <c r="U89" s="5"/>
      <c r="V89" s="5"/>
      <c r="W89" s="5"/>
      <c r="X89" s="5"/>
      <c r="Y89" s="5"/>
      <c r="Z89" s="5"/>
    </row>
    <row r="90" spans="1:26" ht="12" hidden="1" customHeight="1" x14ac:dyDescent="0.25">
      <c r="A90" s="5"/>
      <c r="B90" s="5"/>
      <c r="C90" s="5"/>
      <c r="D90" s="5"/>
      <c r="E90" s="56" t="str">
        <f t="shared" ref="E90:S90" si="48">IF(ISBLANK(E20)," ",IF(ISTEXT(E20),1,E20))</f>
        <v xml:space="preserve"> </v>
      </c>
      <c r="F90" s="56" t="str">
        <f t="shared" si="48"/>
        <v xml:space="preserve"> </v>
      </c>
      <c r="G90" s="56" t="str">
        <f t="shared" si="48"/>
        <v xml:space="preserve"> </v>
      </c>
      <c r="H90" s="56" t="str">
        <f t="shared" si="48"/>
        <v xml:space="preserve"> </v>
      </c>
      <c r="I90" s="56" t="str">
        <f t="shared" si="48"/>
        <v xml:space="preserve"> </v>
      </c>
      <c r="J90" s="56" t="str">
        <f t="shared" si="48"/>
        <v xml:space="preserve"> </v>
      </c>
      <c r="K90" s="56" t="str">
        <f t="shared" si="48"/>
        <v xml:space="preserve"> </v>
      </c>
      <c r="L90" s="56" t="str">
        <f t="shared" si="48"/>
        <v xml:space="preserve"> </v>
      </c>
      <c r="M90" s="56" t="str">
        <f t="shared" si="48"/>
        <v xml:space="preserve"> </v>
      </c>
      <c r="N90" s="56" t="str">
        <f t="shared" si="48"/>
        <v xml:space="preserve"> </v>
      </c>
      <c r="O90" s="56" t="str">
        <f t="shared" si="48"/>
        <v xml:space="preserve"> </v>
      </c>
      <c r="P90" s="56" t="str">
        <f t="shared" si="48"/>
        <v xml:space="preserve"> </v>
      </c>
      <c r="Q90" s="56" t="str">
        <f t="shared" si="48"/>
        <v xml:space="preserve"> </v>
      </c>
      <c r="R90" s="56" t="str">
        <f t="shared" si="48"/>
        <v xml:space="preserve"> </v>
      </c>
      <c r="S90" s="56" t="str">
        <f t="shared" si="48"/>
        <v xml:space="preserve"> </v>
      </c>
      <c r="T90" s="5"/>
      <c r="U90" s="5"/>
      <c r="V90" s="5"/>
      <c r="W90" s="5"/>
      <c r="X90" s="5"/>
      <c r="Y90" s="5"/>
      <c r="Z90" s="5"/>
    </row>
    <row r="91" spans="1:26" ht="12" hidden="1" customHeight="1" x14ac:dyDescent="0.25">
      <c r="A91" s="5"/>
      <c r="B91" s="5"/>
      <c r="C91" s="5"/>
      <c r="D91" s="5"/>
      <c r="E91" s="56" t="str">
        <f t="shared" ref="E91:S91" si="49">IF(ISBLANK(E21)," ",IF(ISTEXT(E21),1,E21))</f>
        <v xml:space="preserve"> </v>
      </c>
      <c r="F91" s="56" t="str">
        <f t="shared" si="49"/>
        <v xml:space="preserve"> </v>
      </c>
      <c r="G91" s="56" t="str">
        <f t="shared" si="49"/>
        <v xml:space="preserve"> </v>
      </c>
      <c r="H91" s="56" t="str">
        <f t="shared" si="49"/>
        <v xml:space="preserve"> </v>
      </c>
      <c r="I91" s="56" t="str">
        <f t="shared" si="49"/>
        <v xml:space="preserve"> </v>
      </c>
      <c r="J91" s="56" t="str">
        <f t="shared" si="49"/>
        <v xml:space="preserve"> </v>
      </c>
      <c r="K91" s="56" t="str">
        <f t="shared" si="49"/>
        <v xml:space="preserve"> </v>
      </c>
      <c r="L91" s="56" t="str">
        <f t="shared" si="49"/>
        <v xml:space="preserve"> </v>
      </c>
      <c r="M91" s="56" t="str">
        <f t="shared" si="49"/>
        <v xml:space="preserve"> </v>
      </c>
      <c r="N91" s="56" t="str">
        <f t="shared" si="49"/>
        <v xml:space="preserve"> </v>
      </c>
      <c r="O91" s="56" t="str">
        <f t="shared" si="49"/>
        <v xml:space="preserve"> </v>
      </c>
      <c r="P91" s="56" t="str">
        <f t="shared" si="49"/>
        <v xml:space="preserve"> </v>
      </c>
      <c r="Q91" s="56" t="str">
        <f t="shared" si="49"/>
        <v xml:space="preserve"> </v>
      </c>
      <c r="R91" s="56" t="str">
        <f t="shared" si="49"/>
        <v xml:space="preserve"> </v>
      </c>
      <c r="S91" s="56" t="str">
        <f t="shared" si="49"/>
        <v xml:space="preserve"> </v>
      </c>
      <c r="T91" s="5"/>
      <c r="U91" s="5"/>
      <c r="V91" s="5"/>
      <c r="W91" s="5"/>
      <c r="X91" s="5"/>
      <c r="Y91" s="5"/>
      <c r="Z91" s="5"/>
    </row>
    <row r="92" spans="1:26" ht="12" hidden="1" customHeight="1" x14ac:dyDescent="0.25">
      <c r="A92" s="5"/>
      <c r="B92" s="5"/>
      <c r="C92" s="5"/>
      <c r="D92" s="5"/>
      <c r="E92" s="56" t="str">
        <f t="shared" ref="E92:S92" si="50">IF(ISBLANK(E22)," ",IF(ISTEXT(E22),1,E22))</f>
        <v xml:space="preserve"> </v>
      </c>
      <c r="F92" s="56" t="str">
        <f t="shared" si="50"/>
        <v xml:space="preserve"> </v>
      </c>
      <c r="G92" s="56" t="str">
        <f t="shared" si="50"/>
        <v xml:space="preserve"> </v>
      </c>
      <c r="H92" s="56" t="str">
        <f t="shared" si="50"/>
        <v xml:space="preserve"> </v>
      </c>
      <c r="I92" s="56" t="str">
        <f t="shared" si="50"/>
        <v xml:space="preserve"> </v>
      </c>
      <c r="J92" s="56" t="str">
        <f t="shared" si="50"/>
        <v xml:space="preserve"> </v>
      </c>
      <c r="K92" s="56" t="str">
        <f t="shared" si="50"/>
        <v xml:space="preserve"> </v>
      </c>
      <c r="L92" s="56" t="str">
        <f t="shared" si="50"/>
        <v xml:space="preserve"> </v>
      </c>
      <c r="M92" s="56" t="str">
        <f t="shared" si="50"/>
        <v xml:space="preserve"> </v>
      </c>
      <c r="N92" s="56" t="str">
        <f t="shared" si="50"/>
        <v xml:space="preserve"> </v>
      </c>
      <c r="O92" s="56" t="str">
        <f t="shared" si="50"/>
        <v xml:space="preserve"> </v>
      </c>
      <c r="P92" s="56" t="str">
        <f t="shared" si="50"/>
        <v xml:space="preserve"> </v>
      </c>
      <c r="Q92" s="56" t="str">
        <f t="shared" si="50"/>
        <v xml:space="preserve"> </v>
      </c>
      <c r="R92" s="56" t="str">
        <f t="shared" si="50"/>
        <v xml:space="preserve"> </v>
      </c>
      <c r="S92" s="56" t="str">
        <f t="shared" si="50"/>
        <v xml:space="preserve"> </v>
      </c>
      <c r="T92" s="5"/>
      <c r="U92" s="5"/>
      <c r="V92" s="5"/>
      <c r="W92" s="5"/>
      <c r="X92" s="5"/>
      <c r="Y92" s="5"/>
      <c r="Z92" s="5"/>
    </row>
    <row r="93" spans="1:26" ht="12" hidden="1" customHeight="1" x14ac:dyDescent="0.25">
      <c r="A93" s="5"/>
      <c r="B93" s="5"/>
      <c r="C93" s="5"/>
      <c r="D93" s="5"/>
      <c r="E93" s="56" t="str">
        <f t="shared" ref="E93:S93" si="51">IF(ISBLANK(E23)," ",IF(ISTEXT(E23),1,E23))</f>
        <v xml:space="preserve"> </v>
      </c>
      <c r="F93" s="56" t="str">
        <f t="shared" si="51"/>
        <v xml:space="preserve"> </v>
      </c>
      <c r="G93" s="56" t="str">
        <f t="shared" si="51"/>
        <v xml:space="preserve"> </v>
      </c>
      <c r="H93" s="56" t="str">
        <f t="shared" si="51"/>
        <v xml:space="preserve"> </v>
      </c>
      <c r="I93" s="56" t="str">
        <f t="shared" si="51"/>
        <v xml:space="preserve"> </v>
      </c>
      <c r="J93" s="56" t="str">
        <f t="shared" si="51"/>
        <v xml:space="preserve"> </v>
      </c>
      <c r="K93" s="56" t="str">
        <f t="shared" si="51"/>
        <v xml:space="preserve"> </v>
      </c>
      <c r="L93" s="56" t="str">
        <f t="shared" si="51"/>
        <v xml:space="preserve"> </v>
      </c>
      <c r="M93" s="56" t="str">
        <f t="shared" si="51"/>
        <v xml:space="preserve"> </v>
      </c>
      <c r="N93" s="56" t="str">
        <f t="shared" si="51"/>
        <v xml:space="preserve"> </v>
      </c>
      <c r="O93" s="56" t="str">
        <f t="shared" si="51"/>
        <v xml:space="preserve"> </v>
      </c>
      <c r="P93" s="56" t="str">
        <f t="shared" si="51"/>
        <v xml:space="preserve"> </v>
      </c>
      <c r="Q93" s="56" t="str">
        <f t="shared" si="51"/>
        <v xml:space="preserve"> </v>
      </c>
      <c r="R93" s="56" t="str">
        <f t="shared" si="51"/>
        <v xml:space="preserve"> </v>
      </c>
      <c r="S93" s="56" t="str">
        <f t="shared" si="51"/>
        <v xml:space="preserve"> </v>
      </c>
      <c r="T93" s="5"/>
      <c r="U93" s="5"/>
      <c r="V93" s="5"/>
      <c r="W93" s="5"/>
      <c r="X93" s="5"/>
      <c r="Y93" s="5"/>
      <c r="Z93" s="5"/>
    </row>
    <row r="94" spans="1:26" ht="12" hidden="1" customHeight="1" x14ac:dyDescent="0.25">
      <c r="A94" s="5"/>
      <c r="B94" s="5"/>
      <c r="C94" s="5"/>
      <c r="D94" s="5"/>
      <c r="E94" s="56" t="str">
        <f t="shared" ref="E94:S94" si="52">IF(ISBLANK(E24)," ",IF(ISTEXT(E24),1,E24))</f>
        <v xml:space="preserve"> </v>
      </c>
      <c r="F94" s="56" t="str">
        <f t="shared" si="52"/>
        <v xml:space="preserve"> </v>
      </c>
      <c r="G94" s="56" t="str">
        <f t="shared" si="52"/>
        <v xml:space="preserve"> </v>
      </c>
      <c r="H94" s="56" t="str">
        <f t="shared" si="52"/>
        <v xml:space="preserve"> </v>
      </c>
      <c r="I94" s="56" t="str">
        <f t="shared" si="52"/>
        <v xml:space="preserve"> </v>
      </c>
      <c r="J94" s="56" t="str">
        <f t="shared" si="52"/>
        <v xml:space="preserve"> </v>
      </c>
      <c r="K94" s="56" t="str">
        <f t="shared" si="52"/>
        <v xml:space="preserve"> </v>
      </c>
      <c r="L94" s="56" t="str">
        <f t="shared" si="52"/>
        <v xml:space="preserve"> </v>
      </c>
      <c r="M94" s="56" t="str">
        <f t="shared" si="52"/>
        <v xml:space="preserve"> </v>
      </c>
      <c r="N94" s="56" t="str">
        <f t="shared" si="52"/>
        <v xml:space="preserve"> </v>
      </c>
      <c r="O94" s="56" t="str">
        <f t="shared" si="52"/>
        <v xml:space="preserve"> </v>
      </c>
      <c r="P94" s="56" t="str">
        <f t="shared" si="52"/>
        <v xml:space="preserve"> </v>
      </c>
      <c r="Q94" s="56" t="str">
        <f t="shared" si="52"/>
        <v xml:space="preserve"> </v>
      </c>
      <c r="R94" s="56" t="str">
        <f t="shared" si="52"/>
        <v xml:space="preserve"> </v>
      </c>
      <c r="S94" s="56" t="str">
        <f t="shared" si="52"/>
        <v xml:space="preserve"> </v>
      </c>
      <c r="T94" s="5"/>
      <c r="U94" s="5"/>
      <c r="V94" s="5"/>
      <c r="W94" s="5"/>
      <c r="X94" s="5"/>
      <c r="Y94" s="5"/>
      <c r="Z94" s="5"/>
    </row>
    <row r="95" spans="1:26" ht="12" hidden="1" customHeight="1" x14ac:dyDescent="0.25">
      <c r="A95" s="5"/>
      <c r="B95" s="5"/>
      <c r="C95" s="5"/>
      <c r="D95" s="5"/>
      <c r="E95" s="56" t="str">
        <f t="shared" ref="E95:S95" si="53">IF(ISBLANK(E25)," ",IF(ISTEXT(E25),1,E25))</f>
        <v xml:space="preserve"> </v>
      </c>
      <c r="F95" s="56" t="str">
        <f t="shared" si="53"/>
        <v xml:space="preserve"> </v>
      </c>
      <c r="G95" s="56" t="str">
        <f t="shared" si="53"/>
        <v xml:space="preserve"> </v>
      </c>
      <c r="H95" s="56" t="str">
        <f t="shared" si="53"/>
        <v xml:space="preserve"> </v>
      </c>
      <c r="I95" s="56" t="str">
        <f t="shared" si="53"/>
        <v xml:space="preserve"> </v>
      </c>
      <c r="J95" s="56" t="str">
        <f t="shared" si="53"/>
        <v xml:space="preserve"> </v>
      </c>
      <c r="K95" s="56" t="str">
        <f t="shared" si="53"/>
        <v xml:space="preserve"> </v>
      </c>
      <c r="L95" s="56" t="str">
        <f t="shared" si="53"/>
        <v xml:space="preserve"> </v>
      </c>
      <c r="M95" s="56" t="str">
        <f t="shared" si="53"/>
        <v xml:space="preserve"> </v>
      </c>
      <c r="N95" s="56" t="str">
        <f t="shared" si="53"/>
        <v xml:space="preserve"> </v>
      </c>
      <c r="O95" s="56" t="str">
        <f t="shared" si="53"/>
        <v xml:space="preserve"> </v>
      </c>
      <c r="P95" s="56" t="str">
        <f t="shared" si="53"/>
        <v xml:space="preserve"> </v>
      </c>
      <c r="Q95" s="56" t="str">
        <f t="shared" si="53"/>
        <v xml:space="preserve"> </v>
      </c>
      <c r="R95" s="56" t="str">
        <f t="shared" si="53"/>
        <v xml:space="preserve"> </v>
      </c>
      <c r="S95" s="56" t="str">
        <f t="shared" si="53"/>
        <v xml:space="preserve"> </v>
      </c>
      <c r="T95" s="5"/>
      <c r="U95" s="5"/>
      <c r="V95" s="5"/>
      <c r="W95" s="5"/>
      <c r="X95" s="5"/>
      <c r="Y95" s="5"/>
      <c r="Z95" s="5"/>
    </row>
    <row r="96" spans="1:26" ht="12" hidden="1" customHeight="1" x14ac:dyDescent="0.25">
      <c r="A96" s="5"/>
      <c r="B96" s="5"/>
      <c r="C96" s="5"/>
      <c r="D96" s="5"/>
      <c r="E96" s="56" t="str">
        <f t="shared" ref="E96:S96" si="54">IF(ISBLANK(E26)," ",IF(ISTEXT(E26),1,E26))</f>
        <v xml:space="preserve"> </v>
      </c>
      <c r="F96" s="56" t="str">
        <f t="shared" si="54"/>
        <v xml:space="preserve"> </v>
      </c>
      <c r="G96" s="56" t="str">
        <f t="shared" si="54"/>
        <v xml:space="preserve"> </v>
      </c>
      <c r="H96" s="56" t="str">
        <f t="shared" si="54"/>
        <v xml:space="preserve"> </v>
      </c>
      <c r="I96" s="56" t="str">
        <f t="shared" si="54"/>
        <v xml:space="preserve"> </v>
      </c>
      <c r="J96" s="56" t="str">
        <f t="shared" si="54"/>
        <v xml:space="preserve"> </v>
      </c>
      <c r="K96" s="56" t="str">
        <f t="shared" si="54"/>
        <v xml:space="preserve"> </v>
      </c>
      <c r="L96" s="56" t="str">
        <f t="shared" si="54"/>
        <v xml:space="preserve"> </v>
      </c>
      <c r="M96" s="56" t="str">
        <f t="shared" si="54"/>
        <v xml:space="preserve"> </v>
      </c>
      <c r="N96" s="56" t="str">
        <f t="shared" si="54"/>
        <v xml:space="preserve"> </v>
      </c>
      <c r="O96" s="56" t="str">
        <f t="shared" si="54"/>
        <v xml:space="preserve"> </v>
      </c>
      <c r="P96" s="56" t="str">
        <f t="shared" si="54"/>
        <v xml:space="preserve"> </v>
      </c>
      <c r="Q96" s="56" t="str">
        <f t="shared" si="54"/>
        <v xml:space="preserve"> </v>
      </c>
      <c r="R96" s="56" t="str">
        <f t="shared" si="54"/>
        <v xml:space="preserve"> </v>
      </c>
      <c r="S96" s="56" t="str">
        <f t="shared" si="54"/>
        <v xml:space="preserve"> </v>
      </c>
      <c r="T96" s="5"/>
      <c r="U96" s="5"/>
      <c r="V96" s="5"/>
      <c r="W96" s="5"/>
      <c r="X96" s="5"/>
      <c r="Y96" s="5"/>
      <c r="Z96" s="5"/>
    </row>
    <row r="97" spans="1:26" ht="12" hidden="1" customHeight="1" x14ac:dyDescent="0.25">
      <c r="A97" s="5"/>
      <c r="B97" s="5"/>
      <c r="C97" s="5"/>
      <c r="D97" s="5"/>
      <c r="E97" s="56" t="str">
        <f t="shared" ref="E97:S97" si="55">IF(ISBLANK(E27)," ",IF(ISTEXT(E27),1,E27))</f>
        <v xml:space="preserve"> </v>
      </c>
      <c r="F97" s="56" t="str">
        <f t="shared" si="55"/>
        <v xml:space="preserve"> </v>
      </c>
      <c r="G97" s="56" t="str">
        <f t="shared" si="55"/>
        <v xml:space="preserve"> </v>
      </c>
      <c r="H97" s="56" t="str">
        <f t="shared" si="55"/>
        <v xml:space="preserve"> </v>
      </c>
      <c r="I97" s="56" t="str">
        <f t="shared" si="55"/>
        <v xml:space="preserve"> </v>
      </c>
      <c r="J97" s="56" t="str">
        <f t="shared" si="55"/>
        <v xml:space="preserve"> </v>
      </c>
      <c r="K97" s="56" t="str">
        <f t="shared" si="55"/>
        <v xml:space="preserve"> </v>
      </c>
      <c r="L97" s="56" t="str">
        <f t="shared" si="55"/>
        <v xml:space="preserve"> </v>
      </c>
      <c r="M97" s="56" t="str">
        <f t="shared" si="55"/>
        <v xml:space="preserve"> </v>
      </c>
      <c r="N97" s="56" t="str">
        <f t="shared" si="55"/>
        <v xml:space="preserve"> </v>
      </c>
      <c r="O97" s="56" t="str">
        <f t="shared" si="55"/>
        <v xml:space="preserve"> </v>
      </c>
      <c r="P97" s="56" t="str">
        <f t="shared" si="55"/>
        <v xml:space="preserve"> </v>
      </c>
      <c r="Q97" s="56" t="str">
        <f t="shared" si="55"/>
        <v xml:space="preserve"> </v>
      </c>
      <c r="R97" s="56" t="str">
        <f t="shared" si="55"/>
        <v xml:space="preserve"> </v>
      </c>
      <c r="S97" s="56" t="str">
        <f t="shared" si="55"/>
        <v xml:space="preserve"> </v>
      </c>
      <c r="T97" s="5"/>
      <c r="U97" s="5"/>
      <c r="V97" s="5"/>
      <c r="W97" s="5"/>
      <c r="X97" s="5"/>
      <c r="Y97" s="5"/>
      <c r="Z97" s="5"/>
    </row>
    <row r="98" spans="1:26" ht="12" hidden="1" customHeight="1" x14ac:dyDescent="0.25">
      <c r="A98" s="5"/>
      <c r="B98" s="5"/>
      <c r="C98" s="5"/>
      <c r="D98" s="5"/>
      <c r="E98" s="56" t="str">
        <f t="shared" ref="E98:S98" si="56">IF(ISBLANK(E28)," ",IF(ISTEXT(E28),1,E28))</f>
        <v xml:space="preserve"> </v>
      </c>
      <c r="F98" s="56" t="str">
        <f t="shared" si="56"/>
        <v xml:space="preserve"> </v>
      </c>
      <c r="G98" s="56" t="str">
        <f t="shared" si="56"/>
        <v xml:space="preserve"> </v>
      </c>
      <c r="H98" s="56" t="str">
        <f t="shared" si="56"/>
        <v xml:space="preserve"> </v>
      </c>
      <c r="I98" s="56" t="str">
        <f t="shared" si="56"/>
        <v xml:space="preserve"> </v>
      </c>
      <c r="J98" s="56" t="str">
        <f t="shared" si="56"/>
        <v xml:space="preserve"> </v>
      </c>
      <c r="K98" s="56" t="str">
        <f t="shared" si="56"/>
        <v xml:space="preserve"> </v>
      </c>
      <c r="L98" s="56" t="str">
        <f t="shared" si="56"/>
        <v xml:space="preserve"> </v>
      </c>
      <c r="M98" s="56" t="str">
        <f t="shared" si="56"/>
        <v xml:space="preserve"> </v>
      </c>
      <c r="N98" s="56" t="str">
        <f t="shared" si="56"/>
        <v xml:space="preserve"> </v>
      </c>
      <c r="O98" s="56" t="str">
        <f t="shared" si="56"/>
        <v xml:space="preserve"> </v>
      </c>
      <c r="P98" s="56" t="str">
        <f t="shared" si="56"/>
        <v xml:space="preserve"> </v>
      </c>
      <c r="Q98" s="56" t="str">
        <f t="shared" si="56"/>
        <v xml:space="preserve"> </v>
      </c>
      <c r="R98" s="56" t="str">
        <f t="shared" si="56"/>
        <v xml:space="preserve"> </v>
      </c>
      <c r="S98" s="56" t="str">
        <f t="shared" si="56"/>
        <v xml:space="preserve"> </v>
      </c>
      <c r="T98" s="5"/>
      <c r="U98" s="5"/>
      <c r="V98" s="5"/>
      <c r="W98" s="5"/>
      <c r="X98" s="5"/>
      <c r="Y98" s="5"/>
      <c r="Z98" s="5"/>
    </row>
    <row r="99" spans="1:26" ht="12" hidden="1" customHeight="1" x14ac:dyDescent="0.25">
      <c r="A99" s="5"/>
      <c r="B99" s="5"/>
      <c r="C99" s="5"/>
      <c r="D99" s="5"/>
      <c r="E99" s="56" t="str">
        <f t="shared" ref="E99:S99" si="57">IF(ISBLANK(E29)," ",IF(ISTEXT(E29),1,E29))</f>
        <v xml:space="preserve"> </v>
      </c>
      <c r="F99" s="56" t="str">
        <f t="shared" si="57"/>
        <v xml:space="preserve"> </v>
      </c>
      <c r="G99" s="56" t="str">
        <f t="shared" si="57"/>
        <v xml:space="preserve"> </v>
      </c>
      <c r="H99" s="56" t="str">
        <f t="shared" si="57"/>
        <v xml:space="preserve"> </v>
      </c>
      <c r="I99" s="56" t="str">
        <f t="shared" si="57"/>
        <v xml:space="preserve"> </v>
      </c>
      <c r="J99" s="56" t="str">
        <f t="shared" si="57"/>
        <v xml:space="preserve"> </v>
      </c>
      <c r="K99" s="56" t="str">
        <f t="shared" si="57"/>
        <v xml:space="preserve"> </v>
      </c>
      <c r="L99" s="56" t="str">
        <f t="shared" si="57"/>
        <v xml:space="preserve"> </v>
      </c>
      <c r="M99" s="56" t="str">
        <f t="shared" si="57"/>
        <v xml:space="preserve"> </v>
      </c>
      <c r="N99" s="56" t="str">
        <f t="shared" si="57"/>
        <v xml:space="preserve"> </v>
      </c>
      <c r="O99" s="56" t="str">
        <f t="shared" si="57"/>
        <v xml:space="preserve"> </v>
      </c>
      <c r="P99" s="56" t="str">
        <f t="shared" si="57"/>
        <v xml:space="preserve"> </v>
      </c>
      <c r="Q99" s="56" t="str">
        <f t="shared" si="57"/>
        <v xml:space="preserve"> </v>
      </c>
      <c r="R99" s="56" t="str">
        <f t="shared" si="57"/>
        <v xml:space="preserve"> </v>
      </c>
      <c r="S99" s="56" t="str">
        <f t="shared" si="57"/>
        <v xml:space="preserve"> </v>
      </c>
      <c r="T99" s="5"/>
      <c r="U99" s="5"/>
      <c r="V99" s="5"/>
      <c r="W99" s="5"/>
      <c r="X99" s="5"/>
      <c r="Y99" s="5"/>
      <c r="Z99" s="5"/>
    </row>
    <row r="100" spans="1:26" ht="12" hidden="1" customHeight="1" x14ac:dyDescent="0.25">
      <c r="A100" s="5"/>
      <c r="B100" s="5"/>
      <c r="C100" s="5"/>
      <c r="D100" s="5"/>
      <c r="E100" s="56" t="str">
        <f t="shared" ref="E100:S100" si="58">IF(ISBLANK(E30)," ",IF(ISTEXT(E30),1,E30))</f>
        <v xml:space="preserve"> </v>
      </c>
      <c r="F100" s="56" t="str">
        <f t="shared" si="58"/>
        <v xml:space="preserve"> </v>
      </c>
      <c r="G100" s="56" t="str">
        <f t="shared" si="58"/>
        <v xml:space="preserve"> </v>
      </c>
      <c r="H100" s="56" t="str">
        <f t="shared" si="58"/>
        <v xml:space="preserve"> </v>
      </c>
      <c r="I100" s="56" t="str">
        <f t="shared" si="58"/>
        <v xml:space="preserve"> </v>
      </c>
      <c r="J100" s="56" t="str">
        <f t="shared" si="58"/>
        <v xml:space="preserve"> </v>
      </c>
      <c r="K100" s="56" t="str">
        <f t="shared" si="58"/>
        <v xml:space="preserve"> </v>
      </c>
      <c r="L100" s="56" t="str">
        <f t="shared" si="58"/>
        <v xml:space="preserve"> </v>
      </c>
      <c r="M100" s="56" t="str">
        <f t="shared" si="58"/>
        <v xml:space="preserve"> </v>
      </c>
      <c r="N100" s="56" t="str">
        <f t="shared" si="58"/>
        <v xml:space="preserve"> </v>
      </c>
      <c r="O100" s="56" t="str">
        <f t="shared" si="58"/>
        <v xml:space="preserve"> </v>
      </c>
      <c r="P100" s="56" t="str">
        <f t="shared" si="58"/>
        <v xml:space="preserve"> </v>
      </c>
      <c r="Q100" s="56" t="str">
        <f t="shared" si="58"/>
        <v xml:space="preserve"> </v>
      </c>
      <c r="R100" s="56" t="str">
        <f t="shared" si="58"/>
        <v xml:space="preserve"> </v>
      </c>
      <c r="S100" s="56" t="str">
        <f t="shared" si="58"/>
        <v xml:space="preserve"> </v>
      </c>
      <c r="T100" s="5"/>
      <c r="U100" s="5"/>
      <c r="V100" s="5"/>
      <c r="W100" s="5"/>
      <c r="X100" s="5"/>
      <c r="Y100" s="5"/>
      <c r="Z100" s="5"/>
    </row>
    <row r="101" spans="1:26" ht="12" hidden="1" customHeight="1" x14ac:dyDescent="0.25">
      <c r="A101" s="5"/>
      <c r="B101" s="5"/>
      <c r="C101" s="5"/>
      <c r="D101" s="5"/>
      <c r="E101" s="56" t="str">
        <f t="shared" ref="E101:S101" si="59">IF(ISBLANK(E31)," ",IF(ISTEXT(E31),1,E31))</f>
        <v xml:space="preserve"> </v>
      </c>
      <c r="F101" s="56" t="str">
        <f t="shared" si="59"/>
        <v xml:space="preserve"> </v>
      </c>
      <c r="G101" s="56" t="str">
        <f t="shared" si="59"/>
        <v xml:space="preserve"> </v>
      </c>
      <c r="H101" s="56" t="str">
        <f t="shared" si="59"/>
        <v xml:space="preserve"> </v>
      </c>
      <c r="I101" s="56" t="str">
        <f t="shared" si="59"/>
        <v xml:space="preserve"> </v>
      </c>
      <c r="J101" s="56" t="str">
        <f t="shared" si="59"/>
        <v xml:space="preserve"> </v>
      </c>
      <c r="K101" s="56" t="str">
        <f t="shared" si="59"/>
        <v xml:space="preserve"> </v>
      </c>
      <c r="L101" s="56" t="str">
        <f t="shared" si="59"/>
        <v xml:space="preserve"> </v>
      </c>
      <c r="M101" s="56" t="str">
        <f t="shared" si="59"/>
        <v xml:space="preserve"> </v>
      </c>
      <c r="N101" s="56" t="str">
        <f t="shared" si="59"/>
        <v xml:space="preserve"> </v>
      </c>
      <c r="O101" s="56" t="str">
        <f t="shared" si="59"/>
        <v xml:space="preserve"> </v>
      </c>
      <c r="P101" s="56" t="str">
        <f t="shared" si="59"/>
        <v xml:space="preserve"> </v>
      </c>
      <c r="Q101" s="56" t="str">
        <f t="shared" si="59"/>
        <v xml:space="preserve"> </v>
      </c>
      <c r="R101" s="56" t="str">
        <f t="shared" si="59"/>
        <v xml:space="preserve"> </v>
      </c>
      <c r="S101" s="56" t="str">
        <f t="shared" si="59"/>
        <v xml:space="preserve"> </v>
      </c>
      <c r="T101" s="5"/>
      <c r="U101" s="5"/>
      <c r="V101" s="5"/>
      <c r="W101" s="5"/>
      <c r="X101" s="5"/>
      <c r="Y101" s="5"/>
      <c r="Z101" s="5"/>
    </row>
    <row r="102" spans="1:26" ht="12" hidden="1" customHeight="1" x14ac:dyDescent="0.25">
      <c r="A102" s="5"/>
      <c r="B102" s="5"/>
      <c r="C102" s="5"/>
      <c r="D102" s="5"/>
      <c r="E102" s="56" t="str">
        <f t="shared" ref="E102:S102" si="60">IF(ISBLANK(E32)," ",IF(ISTEXT(E32),1,E32))</f>
        <v xml:space="preserve"> </v>
      </c>
      <c r="F102" s="56" t="str">
        <f t="shared" si="60"/>
        <v xml:space="preserve"> </v>
      </c>
      <c r="G102" s="56" t="str">
        <f t="shared" si="60"/>
        <v xml:space="preserve"> </v>
      </c>
      <c r="H102" s="56" t="str">
        <f t="shared" si="60"/>
        <v xml:space="preserve"> </v>
      </c>
      <c r="I102" s="56" t="str">
        <f t="shared" si="60"/>
        <v xml:space="preserve"> </v>
      </c>
      <c r="J102" s="56" t="str">
        <f t="shared" si="60"/>
        <v xml:space="preserve"> </v>
      </c>
      <c r="K102" s="56" t="str">
        <f t="shared" si="60"/>
        <v xml:space="preserve"> </v>
      </c>
      <c r="L102" s="56" t="str">
        <f t="shared" si="60"/>
        <v xml:space="preserve"> </v>
      </c>
      <c r="M102" s="56" t="str">
        <f t="shared" si="60"/>
        <v xml:space="preserve"> </v>
      </c>
      <c r="N102" s="56" t="str">
        <f t="shared" si="60"/>
        <v xml:space="preserve"> </v>
      </c>
      <c r="O102" s="56" t="str">
        <f t="shared" si="60"/>
        <v xml:space="preserve"> </v>
      </c>
      <c r="P102" s="56" t="str">
        <f t="shared" si="60"/>
        <v xml:space="preserve"> </v>
      </c>
      <c r="Q102" s="56" t="str">
        <f t="shared" si="60"/>
        <v xml:space="preserve"> </v>
      </c>
      <c r="R102" s="56" t="str">
        <f t="shared" si="60"/>
        <v xml:space="preserve"> </v>
      </c>
      <c r="S102" s="56" t="str">
        <f t="shared" si="60"/>
        <v xml:space="preserve"> </v>
      </c>
      <c r="T102" s="5"/>
      <c r="U102" s="5"/>
      <c r="V102" s="5"/>
      <c r="W102" s="5"/>
      <c r="X102" s="5"/>
      <c r="Y102" s="5"/>
      <c r="Z102" s="5"/>
    </row>
    <row r="103" spans="1:26" ht="12" hidden="1" customHeight="1" x14ac:dyDescent="0.25">
      <c r="A103" s="5"/>
      <c r="B103" s="5"/>
      <c r="C103" s="5"/>
      <c r="D103" s="5"/>
      <c r="E103" s="56" t="str">
        <f t="shared" ref="E103:S103" si="61">IF(ISBLANK(E33)," ",IF(ISTEXT(E33),1,E33))</f>
        <v xml:space="preserve"> </v>
      </c>
      <c r="F103" s="56" t="str">
        <f t="shared" si="61"/>
        <v xml:space="preserve"> </v>
      </c>
      <c r="G103" s="56" t="str">
        <f t="shared" si="61"/>
        <v xml:space="preserve"> </v>
      </c>
      <c r="H103" s="56" t="str">
        <f t="shared" si="61"/>
        <v xml:space="preserve"> </v>
      </c>
      <c r="I103" s="56" t="str">
        <f t="shared" si="61"/>
        <v xml:space="preserve"> </v>
      </c>
      <c r="J103" s="56" t="str">
        <f t="shared" si="61"/>
        <v xml:space="preserve"> </v>
      </c>
      <c r="K103" s="56" t="str">
        <f t="shared" si="61"/>
        <v xml:space="preserve"> </v>
      </c>
      <c r="L103" s="56" t="str">
        <f t="shared" si="61"/>
        <v xml:space="preserve"> </v>
      </c>
      <c r="M103" s="56" t="str">
        <f t="shared" si="61"/>
        <v xml:space="preserve"> </v>
      </c>
      <c r="N103" s="56" t="str">
        <f t="shared" si="61"/>
        <v xml:space="preserve"> </v>
      </c>
      <c r="O103" s="56" t="str">
        <f t="shared" si="61"/>
        <v xml:space="preserve"> </v>
      </c>
      <c r="P103" s="56" t="str">
        <f t="shared" si="61"/>
        <v xml:space="preserve"> </v>
      </c>
      <c r="Q103" s="56" t="str">
        <f t="shared" si="61"/>
        <v xml:space="preserve"> </v>
      </c>
      <c r="R103" s="56" t="str">
        <f t="shared" si="61"/>
        <v xml:space="preserve"> </v>
      </c>
      <c r="S103" s="56" t="str">
        <f t="shared" si="61"/>
        <v xml:space="preserve"> </v>
      </c>
      <c r="T103" s="5"/>
      <c r="U103" s="5"/>
      <c r="V103" s="5"/>
      <c r="W103" s="5"/>
      <c r="X103" s="5"/>
      <c r="Y103" s="5"/>
      <c r="Z103" s="5"/>
    </row>
    <row r="104" spans="1:26" ht="12" hidden="1" customHeight="1" x14ac:dyDescent="0.25">
      <c r="A104" s="5"/>
      <c r="B104" s="5"/>
      <c r="C104" s="5"/>
      <c r="D104" s="5"/>
      <c r="E104" s="56" t="str">
        <f t="shared" ref="E104:S104" si="62">IF(ISBLANK(E34)," ",IF(ISTEXT(E34),1,E34))</f>
        <v xml:space="preserve"> </v>
      </c>
      <c r="F104" s="56" t="str">
        <f t="shared" si="62"/>
        <v xml:space="preserve"> </v>
      </c>
      <c r="G104" s="56" t="str">
        <f t="shared" si="62"/>
        <v xml:space="preserve"> </v>
      </c>
      <c r="H104" s="56" t="str">
        <f t="shared" si="62"/>
        <v xml:space="preserve"> </v>
      </c>
      <c r="I104" s="56" t="str">
        <f t="shared" si="62"/>
        <v xml:space="preserve"> </v>
      </c>
      <c r="J104" s="56" t="str">
        <f t="shared" si="62"/>
        <v xml:space="preserve"> </v>
      </c>
      <c r="K104" s="56" t="str">
        <f t="shared" si="62"/>
        <v xml:space="preserve"> </v>
      </c>
      <c r="L104" s="56" t="str">
        <f t="shared" si="62"/>
        <v xml:space="preserve"> </v>
      </c>
      <c r="M104" s="56" t="str">
        <f t="shared" si="62"/>
        <v xml:space="preserve"> </v>
      </c>
      <c r="N104" s="56" t="str">
        <f t="shared" si="62"/>
        <v xml:space="preserve"> </v>
      </c>
      <c r="O104" s="56" t="str">
        <f t="shared" si="62"/>
        <v xml:space="preserve"> </v>
      </c>
      <c r="P104" s="56" t="str">
        <f t="shared" si="62"/>
        <v xml:space="preserve"> </v>
      </c>
      <c r="Q104" s="56" t="str">
        <f t="shared" si="62"/>
        <v xml:space="preserve"> </v>
      </c>
      <c r="R104" s="56" t="str">
        <f t="shared" si="62"/>
        <v xml:space="preserve"> </v>
      </c>
      <c r="S104" s="56" t="str">
        <f t="shared" si="62"/>
        <v xml:space="preserve"> </v>
      </c>
      <c r="T104" s="5"/>
      <c r="U104" s="5"/>
      <c r="V104" s="5"/>
      <c r="W104" s="5"/>
      <c r="X104" s="5"/>
      <c r="Y104" s="5"/>
      <c r="Z104" s="5"/>
    </row>
    <row r="105" spans="1:26" ht="12" hidden="1" customHeight="1" x14ac:dyDescent="0.25">
      <c r="A105" s="5"/>
      <c r="B105" s="5"/>
      <c r="C105" s="5"/>
      <c r="D105" s="5"/>
      <c r="E105" s="56" t="str">
        <f t="shared" ref="E105:S105" si="63">IF(ISBLANK(E35)," ",IF(ISTEXT(E35),1,E35))</f>
        <v xml:space="preserve"> </v>
      </c>
      <c r="F105" s="56" t="str">
        <f t="shared" si="63"/>
        <v xml:space="preserve"> </v>
      </c>
      <c r="G105" s="56" t="str">
        <f t="shared" si="63"/>
        <v xml:space="preserve"> </v>
      </c>
      <c r="H105" s="56" t="str">
        <f t="shared" si="63"/>
        <v xml:space="preserve"> </v>
      </c>
      <c r="I105" s="56" t="str">
        <f t="shared" si="63"/>
        <v xml:space="preserve"> </v>
      </c>
      <c r="J105" s="56" t="str">
        <f t="shared" si="63"/>
        <v xml:space="preserve"> </v>
      </c>
      <c r="K105" s="56" t="str">
        <f t="shared" si="63"/>
        <v xml:space="preserve"> </v>
      </c>
      <c r="L105" s="56" t="str">
        <f t="shared" si="63"/>
        <v xml:space="preserve"> </v>
      </c>
      <c r="M105" s="56" t="str">
        <f t="shared" si="63"/>
        <v xml:space="preserve"> </v>
      </c>
      <c r="N105" s="56" t="str">
        <f t="shared" si="63"/>
        <v xml:space="preserve"> </v>
      </c>
      <c r="O105" s="56" t="str">
        <f t="shared" si="63"/>
        <v xml:space="preserve"> </v>
      </c>
      <c r="P105" s="56" t="str">
        <f t="shared" si="63"/>
        <v xml:space="preserve"> </v>
      </c>
      <c r="Q105" s="56" t="str">
        <f t="shared" si="63"/>
        <v xml:space="preserve"> </v>
      </c>
      <c r="R105" s="56" t="str">
        <f t="shared" si="63"/>
        <v xml:space="preserve"> </v>
      </c>
      <c r="S105" s="56" t="str">
        <f t="shared" si="63"/>
        <v xml:space="preserve"> </v>
      </c>
      <c r="T105" s="5"/>
      <c r="U105" s="5"/>
      <c r="V105" s="5"/>
      <c r="W105" s="5"/>
      <c r="X105" s="5"/>
      <c r="Y105" s="5"/>
      <c r="Z105" s="5"/>
    </row>
    <row r="106" spans="1:26" ht="12" hidden="1" customHeight="1" x14ac:dyDescent="0.25">
      <c r="A106" s="5"/>
      <c r="B106" s="5"/>
      <c r="C106" s="5"/>
      <c r="D106" s="5"/>
      <c r="E106" s="56" t="str">
        <f t="shared" ref="E106:S106" si="64">IF(ISBLANK(E36)," ",IF(ISTEXT(E36),1,E36))</f>
        <v xml:space="preserve"> </v>
      </c>
      <c r="F106" s="56" t="str">
        <f t="shared" si="64"/>
        <v xml:space="preserve"> </v>
      </c>
      <c r="G106" s="56" t="str">
        <f t="shared" si="64"/>
        <v xml:space="preserve"> </v>
      </c>
      <c r="H106" s="56" t="str">
        <f t="shared" si="64"/>
        <v xml:space="preserve"> </v>
      </c>
      <c r="I106" s="56" t="str">
        <f t="shared" si="64"/>
        <v xml:space="preserve"> </v>
      </c>
      <c r="J106" s="56" t="str">
        <f t="shared" si="64"/>
        <v xml:space="preserve"> </v>
      </c>
      <c r="K106" s="56" t="str">
        <f t="shared" si="64"/>
        <v xml:space="preserve"> </v>
      </c>
      <c r="L106" s="56" t="str">
        <f t="shared" si="64"/>
        <v xml:space="preserve"> </v>
      </c>
      <c r="M106" s="56" t="str">
        <f t="shared" si="64"/>
        <v xml:space="preserve"> </v>
      </c>
      <c r="N106" s="56" t="str">
        <f t="shared" si="64"/>
        <v xml:space="preserve"> </v>
      </c>
      <c r="O106" s="56" t="str">
        <f t="shared" si="64"/>
        <v xml:space="preserve"> </v>
      </c>
      <c r="P106" s="56" t="str">
        <f t="shared" si="64"/>
        <v xml:space="preserve"> </v>
      </c>
      <c r="Q106" s="56" t="str">
        <f t="shared" si="64"/>
        <v xml:space="preserve"> </v>
      </c>
      <c r="R106" s="56" t="str">
        <f t="shared" si="64"/>
        <v xml:space="preserve"> </v>
      </c>
      <c r="S106" s="56" t="str">
        <f t="shared" si="64"/>
        <v xml:space="preserve"> </v>
      </c>
      <c r="T106" s="5"/>
      <c r="U106" s="5"/>
      <c r="V106" s="5"/>
      <c r="W106" s="5"/>
      <c r="X106" s="5"/>
      <c r="Y106" s="5"/>
      <c r="Z106" s="5"/>
    </row>
    <row r="107" spans="1:26" ht="12" hidden="1" customHeight="1" x14ac:dyDescent="0.25">
      <c r="A107" s="5"/>
      <c r="B107" s="5"/>
      <c r="C107" s="5" t="s">
        <v>25</v>
      </c>
      <c r="D107" s="5"/>
      <c r="E107" s="57" t="str">
        <f t="shared" ref="E107:S107" si="65">IF(LEFT(E6,1)="&lt;",VALUE(SUBSTITUTE(E6,"&lt;","")), IF(ISBLANK(E6)," ",E6))</f>
        <v xml:space="preserve"> </v>
      </c>
      <c r="F107" s="57" t="str">
        <f t="shared" si="65"/>
        <v xml:space="preserve"> </v>
      </c>
      <c r="G107" s="57" t="str">
        <f t="shared" si="65"/>
        <v xml:space="preserve"> </v>
      </c>
      <c r="H107" s="57" t="str">
        <f t="shared" si="65"/>
        <v xml:space="preserve"> </v>
      </c>
      <c r="I107" s="57" t="str">
        <f t="shared" si="65"/>
        <v xml:space="preserve"> </v>
      </c>
      <c r="J107" s="57" t="str">
        <f t="shared" si="65"/>
        <v xml:space="preserve"> </v>
      </c>
      <c r="K107" s="57" t="str">
        <f t="shared" si="65"/>
        <v xml:space="preserve"> </v>
      </c>
      <c r="L107" s="57" t="str">
        <f t="shared" si="65"/>
        <v xml:space="preserve"> </v>
      </c>
      <c r="M107" s="57" t="str">
        <f t="shared" si="65"/>
        <v xml:space="preserve"> </v>
      </c>
      <c r="N107" s="57" t="str">
        <f t="shared" si="65"/>
        <v xml:space="preserve"> </v>
      </c>
      <c r="O107" s="57" t="str">
        <f t="shared" si="65"/>
        <v xml:space="preserve"> </v>
      </c>
      <c r="P107" s="57" t="str">
        <f t="shared" si="65"/>
        <v xml:space="preserve"> </v>
      </c>
      <c r="Q107" s="57" t="str">
        <f t="shared" si="65"/>
        <v xml:space="preserve"> </v>
      </c>
      <c r="R107" s="57" t="str">
        <f t="shared" si="65"/>
        <v xml:space="preserve"> </v>
      </c>
      <c r="S107" s="57" t="str">
        <f t="shared" si="65"/>
        <v xml:space="preserve"> </v>
      </c>
      <c r="T107" s="5"/>
      <c r="U107" s="5"/>
      <c r="V107" s="5"/>
      <c r="W107" s="5"/>
      <c r="X107" s="5"/>
      <c r="Y107" s="5"/>
      <c r="Z107" s="5"/>
    </row>
    <row r="108" spans="1:26" ht="12" hidden="1" customHeight="1" x14ac:dyDescent="0.25">
      <c r="A108" s="5"/>
      <c r="B108" s="5"/>
      <c r="C108" s="5"/>
      <c r="D108" s="5"/>
      <c r="E108" s="57" t="str">
        <f t="shared" ref="E108:S108" si="66">IF(LEFT(E7,1)="&lt;",VALUE(SUBSTITUTE(E7,"&lt;","")), IF(ISBLANK(E7)," ",E7))</f>
        <v xml:space="preserve"> </v>
      </c>
      <c r="F108" s="57" t="str">
        <f t="shared" si="66"/>
        <v xml:space="preserve"> </v>
      </c>
      <c r="G108" s="57" t="str">
        <f t="shared" si="66"/>
        <v xml:space="preserve"> </v>
      </c>
      <c r="H108" s="57" t="str">
        <f t="shared" si="66"/>
        <v xml:space="preserve"> </v>
      </c>
      <c r="I108" s="57" t="str">
        <f t="shared" si="66"/>
        <v xml:space="preserve"> </v>
      </c>
      <c r="J108" s="57" t="str">
        <f t="shared" si="66"/>
        <v xml:space="preserve"> </v>
      </c>
      <c r="K108" s="57" t="str">
        <f t="shared" si="66"/>
        <v xml:space="preserve"> </v>
      </c>
      <c r="L108" s="57" t="str">
        <f t="shared" si="66"/>
        <v xml:space="preserve"> </v>
      </c>
      <c r="M108" s="57" t="str">
        <f t="shared" si="66"/>
        <v xml:space="preserve"> </v>
      </c>
      <c r="N108" s="57" t="str">
        <f t="shared" si="66"/>
        <v xml:space="preserve"> </v>
      </c>
      <c r="O108" s="57" t="str">
        <f t="shared" si="66"/>
        <v xml:space="preserve"> </v>
      </c>
      <c r="P108" s="57" t="str">
        <f t="shared" si="66"/>
        <v xml:space="preserve"> </v>
      </c>
      <c r="Q108" s="57" t="str">
        <f t="shared" si="66"/>
        <v xml:space="preserve"> </v>
      </c>
      <c r="R108" s="57" t="str">
        <f t="shared" si="66"/>
        <v xml:space="preserve"> </v>
      </c>
      <c r="S108" s="57" t="str">
        <f t="shared" si="66"/>
        <v xml:space="preserve"> </v>
      </c>
      <c r="T108" s="5"/>
      <c r="U108" s="5"/>
      <c r="V108" s="5"/>
      <c r="W108" s="5"/>
      <c r="X108" s="5"/>
      <c r="Y108" s="5"/>
      <c r="Z108" s="5"/>
    </row>
    <row r="109" spans="1:26" ht="12" hidden="1" customHeight="1" x14ac:dyDescent="0.25">
      <c r="A109" s="5"/>
      <c r="B109" s="5"/>
      <c r="C109" s="5"/>
      <c r="D109" s="5"/>
      <c r="E109" s="57" t="str">
        <f t="shared" ref="E109:S109" si="67">IF(LEFT(E8,1)="&lt;",VALUE(SUBSTITUTE(E8,"&lt;","")), IF(ISBLANK(E8)," ",E8))</f>
        <v xml:space="preserve"> </v>
      </c>
      <c r="F109" s="57" t="str">
        <f t="shared" si="67"/>
        <v xml:space="preserve"> </v>
      </c>
      <c r="G109" s="57" t="str">
        <f t="shared" si="67"/>
        <v xml:space="preserve"> </v>
      </c>
      <c r="H109" s="57" t="str">
        <f t="shared" si="67"/>
        <v xml:space="preserve"> </v>
      </c>
      <c r="I109" s="57" t="str">
        <f t="shared" si="67"/>
        <v xml:space="preserve"> </v>
      </c>
      <c r="J109" s="57" t="str">
        <f t="shared" si="67"/>
        <v xml:space="preserve"> </v>
      </c>
      <c r="K109" s="57" t="str">
        <f t="shared" si="67"/>
        <v xml:space="preserve"> </v>
      </c>
      <c r="L109" s="57" t="str">
        <f t="shared" si="67"/>
        <v xml:space="preserve"> </v>
      </c>
      <c r="M109" s="57" t="str">
        <f t="shared" si="67"/>
        <v xml:space="preserve"> </v>
      </c>
      <c r="N109" s="57" t="str">
        <f t="shared" si="67"/>
        <v xml:space="preserve"> </v>
      </c>
      <c r="O109" s="57" t="str">
        <f t="shared" si="67"/>
        <v xml:space="preserve"> </v>
      </c>
      <c r="P109" s="57" t="str">
        <f t="shared" si="67"/>
        <v xml:space="preserve"> </v>
      </c>
      <c r="Q109" s="57" t="str">
        <f t="shared" si="67"/>
        <v xml:space="preserve"> </v>
      </c>
      <c r="R109" s="57" t="str">
        <f t="shared" si="67"/>
        <v xml:space="preserve"> </v>
      </c>
      <c r="S109" s="57" t="str">
        <f t="shared" si="67"/>
        <v xml:space="preserve"> </v>
      </c>
      <c r="T109" s="5"/>
      <c r="U109" s="5"/>
      <c r="V109" s="5"/>
      <c r="W109" s="5"/>
      <c r="X109" s="5"/>
      <c r="Y109" s="5"/>
      <c r="Z109" s="5"/>
    </row>
    <row r="110" spans="1:26" ht="12" hidden="1" customHeight="1" x14ac:dyDescent="0.25">
      <c r="A110" s="5"/>
      <c r="B110" s="5"/>
      <c r="C110" s="5"/>
      <c r="D110" s="5"/>
      <c r="E110" s="57" t="str">
        <f t="shared" ref="E110:S110" si="68">IF(LEFT(E9,1)="&lt;",VALUE(SUBSTITUTE(E9,"&lt;","")), IF(ISBLANK(E9)," ",E9))</f>
        <v xml:space="preserve"> </v>
      </c>
      <c r="F110" s="57" t="str">
        <f t="shared" si="68"/>
        <v xml:space="preserve"> </v>
      </c>
      <c r="G110" s="57" t="str">
        <f t="shared" si="68"/>
        <v xml:space="preserve"> </v>
      </c>
      <c r="H110" s="57" t="str">
        <f t="shared" si="68"/>
        <v xml:space="preserve"> </v>
      </c>
      <c r="I110" s="57" t="str">
        <f t="shared" si="68"/>
        <v xml:space="preserve"> </v>
      </c>
      <c r="J110" s="57" t="str">
        <f t="shared" si="68"/>
        <v xml:space="preserve"> </v>
      </c>
      <c r="K110" s="57" t="str">
        <f t="shared" si="68"/>
        <v xml:space="preserve"> </v>
      </c>
      <c r="L110" s="57" t="str">
        <f t="shared" si="68"/>
        <v xml:space="preserve"> </v>
      </c>
      <c r="M110" s="57" t="str">
        <f t="shared" si="68"/>
        <v xml:space="preserve"> </v>
      </c>
      <c r="N110" s="57" t="str">
        <f t="shared" si="68"/>
        <v xml:space="preserve"> </v>
      </c>
      <c r="O110" s="57" t="str">
        <f t="shared" si="68"/>
        <v xml:space="preserve"> </v>
      </c>
      <c r="P110" s="57" t="str">
        <f t="shared" si="68"/>
        <v xml:space="preserve"> </v>
      </c>
      <c r="Q110" s="57" t="str">
        <f t="shared" si="68"/>
        <v xml:space="preserve"> </v>
      </c>
      <c r="R110" s="57" t="str">
        <f t="shared" si="68"/>
        <v xml:space="preserve"> </v>
      </c>
      <c r="S110" s="57" t="str">
        <f t="shared" si="68"/>
        <v xml:space="preserve"> </v>
      </c>
      <c r="T110" s="5"/>
      <c r="U110" s="5"/>
      <c r="V110" s="5"/>
      <c r="W110" s="5"/>
      <c r="X110" s="5"/>
      <c r="Y110" s="5"/>
      <c r="Z110" s="5"/>
    </row>
    <row r="111" spans="1:26" ht="12" hidden="1" customHeight="1" x14ac:dyDescent="0.25">
      <c r="A111" s="5"/>
      <c r="B111" s="5"/>
      <c r="C111" s="5"/>
      <c r="D111" s="5"/>
      <c r="E111" s="57" t="str">
        <f t="shared" ref="E111:S111" si="69">IF(LEFT(E10,1)="&lt;",VALUE(SUBSTITUTE(E10,"&lt;","")), IF(ISBLANK(E10)," ",E10))</f>
        <v xml:space="preserve"> </v>
      </c>
      <c r="F111" s="57" t="str">
        <f t="shared" si="69"/>
        <v xml:space="preserve"> </v>
      </c>
      <c r="G111" s="57" t="str">
        <f t="shared" si="69"/>
        <v xml:space="preserve"> </v>
      </c>
      <c r="H111" s="57" t="str">
        <f t="shared" si="69"/>
        <v xml:space="preserve"> </v>
      </c>
      <c r="I111" s="57" t="str">
        <f t="shared" si="69"/>
        <v xml:space="preserve"> </v>
      </c>
      <c r="J111" s="57" t="str">
        <f t="shared" si="69"/>
        <v xml:space="preserve"> </v>
      </c>
      <c r="K111" s="57" t="str">
        <f t="shared" si="69"/>
        <v xml:space="preserve"> </v>
      </c>
      <c r="L111" s="57" t="str">
        <f t="shared" si="69"/>
        <v xml:space="preserve"> </v>
      </c>
      <c r="M111" s="57" t="str">
        <f t="shared" si="69"/>
        <v xml:space="preserve"> </v>
      </c>
      <c r="N111" s="57" t="str">
        <f t="shared" si="69"/>
        <v xml:space="preserve"> </v>
      </c>
      <c r="O111" s="57" t="str">
        <f t="shared" si="69"/>
        <v xml:space="preserve"> </v>
      </c>
      <c r="P111" s="57" t="str">
        <f t="shared" si="69"/>
        <v xml:space="preserve"> </v>
      </c>
      <c r="Q111" s="57" t="str">
        <f t="shared" si="69"/>
        <v xml:space="preserve"> </v>
      </c>
      <c r="R111" s="57" t="str">
        <f t="shared" si="69"/>
        <v xml:space="preserve"> </v>
      </c>
      <c r="S111" s="57" t="str">
        <f t="shared" si="69"/>
        <v xml:space="preserve"> </v>
      </c>
      <c r="T111" s="5"/>
      <c r="U111" s="5"/>
      <c r="V111" s="5"/>
      <c r="W111" s="5"/>
      <c r="X111" s="5"/>
      <c r="Y111" s="5"/>
      <c r="Z111" s="5"/>
    </row>
    <row r="112" spans="1:26" ht="12" hidden="1" customHeight="1" x14ac:dyDescent="0.25">
      <c r="A112" s="5"/>
      <c r="B112" s="5"/>
      <c r="C112" s="5"/>
      <c r="D112" s="5"/>
      <c r="E112" s="57" t="str">
        <f t="shared" ref="E112:S112" si="70">IF(LEFT(E11,1)="&lt;",VALUE(SUBSTITUTE(E11,"&lt;","")), IF(ISBLANK(E11)," ",E11))</f>
        <v xml:space="preserve"> </v>
      </c>
      <c r="F112" s="57" t="str">
        <f t="shared" si="70"/>
        <v xml:space="preserve"> </v>
      </c>
      <c r="G112" s="57" t="str">
        <f t="shared" si="70"/>
        <v xml:space="preserve"> </v>
      </c>
      <c r="H112" s="57" t="str">
        <f t="shared" si="70"/>
        <v xml:space="preserve"> </v>
      </c>
      <c r="I112" s="57" t="str">
        <f t="shared" si="70"/>
        <v xml:space="preserve"> </v>
      </c>
      <c r="J112" s="57" t="str">
        <f t="shared" si="70"/>
        <v xml:space="preserve"> </v>
      </c>
      <c r="K112" s="57" t="str">
        <f t="shared" si="70"/>
        <v xml:space="preserve"> </v>
      </c>
      <c r="L112" s="57" t="str">
        <f t="shared" si="70"/>
        <v xml:space="preserve"> </v>
      </c>
      <c r="M112" s="57" t="str">
        <f t="shared" si="70"/>
        <v xml:space="preserve"> </v>
      </c>
      <c r="N112" s="57" t="str">
        <f t="shared" si="70"/>
        <v xml:space="preserve"> </v>
      </c>
      <c r="O112" s="57" t="str">
        <f t="shared" si="70"/>
        <v xml:space="preserve"> </v>
      </c>
      <c r="P112" s="57" t="str">
        <f t="shared" si="70"/>
        <v xml:space="preserve"> </v>
      </c>
      <c r="Q112" s="57" t="str">
        <f t="shared" si="70"/>
        <v xml:space="preserve"> </v>
      </c>
      <c r="R112" s="57" t="str">
        <f t="shared" si="70"/>
        <v xml:space="preserve"> </v>
      </c>
      <c r="S112" s="57" t="str">
        <f t="shared" si="70"/>
        <v xml:space="preserve"> </v>
      </c>
      <c r="T112" s="5"/>
      <c r="U112" s="5"/>
      <c r="V112" s="5"/>
      <c r="W112" s="5"/>
      <c r="X112" s="5"/>
      <c r="Y112" s="5"/>
      <c r="Z112" s="5"/>
    </row>
    <row r="113" spans="1:26" ht="12" hidden="1" customHeight="1" x14ac:dyDescent="0.25">
      <c r="A113" s="5"/>
      <c r="B113" s="5"/>
      <c r="C113" s="5"/>
      <c r="D113" s="5"/>
      <c r="E113" s="57" t="str">
        <f t="shared" ref="E113:S113" si="71">IF(LEFT(E12,1)="&lt;",VALUE(SUBSTITUTE(E12,"&lt;","")), IF(ISBLANK(E12)," ",E12))</f>
        <v xml:space="preserve"> </v>
      </c>
      <c r="F113" s="57" t="str">
        <f t="shared" si="71"/>
        <v xml:space="preserve"> </v>
      </c>
      <c r="G113" s="57" t="str">
        <f t="shared" si="71"/>
        <v xml:space="preserve"> </v>
      </c>
      <c r="H113" s="57" t="str">
        <f t="shared" si="71"/>
        <v xml:space="preserve"> </v>
      </c>
      <c r="I113" s="57" t="str">
        <f t="shared" si="71"/>
        <v xml:space="preserve"> </v>
      </c>
      <c r="J113" s="57" t="str">
        <f t="shared" si="71"/>
        <v xml:space="preserve"> </v>
      </c>
      <c r="K113" s="57" t="str">
        <f t="shared" si="71"/>
        <v xml:space="preserve"> </v>
      </c>
      <c r="L113" s="57" t="str">
        <f t="shared" si="71"/>
        <v xml:space="preserve"> </v>
      </c>
      <c r="M113" s="57" t="str">
        <f t="shared" si="71"/>
        <v xml:space="preserve"> </v>
      </c>
      <c r="N113" s="57" t="str">
        <f t="shared" si="71"/>
        <v xml:space="preserve"> </v>
      </c>
      <c r="O113" s="57" t="str">
        <f t="shared" si="71"/>
        <v xml:space="preserve"> </v>
      </c>
      <c r="P113" s="57" t="str">
        <f t="shared" si="71"/>
        <v xml:space="preserve"> </v>
      </c>
      <c r="Q113" s="57" t="str">
        <f t="shared" si="71"/>
        <v xml:space="preserve"> </v>
      </c>
      <c r="R113" s="57" t="str">
        <f t="shared" si="71"/>
        <v xml:space="preserve"> </v>
      </c>
      <c r="S113" s="57" t="str">
        <f t="shared" si="71"/>
        <v xml:space="preserve"> </v>
      </c>
      <c r="T113" s="5"/>
      <c r="U113" s="5"/>
      <c r="V113" s="5"/>
      <c r="W113" s="5"/>
      <c r="X113" s="5"/>
      <c r="Y113" s="5"/>
      <c r="Z113" s="5"/>
    </row>
    <row r="114" spans="1:26" ht="12" hidden="1" customHeight="1" x14ac:dyDescent="0.25">
      <c r="A114" s="5"/>
      <c r="B114" s="5"/>
      <c r="C114" s="5"/>
      <c r="D114" s="5"/>
      <c r="E114" s="57" t="str">
        <f t="shared" ref="E114:S114" si="72">IF(LEFT(E13,1)="&lt;",VALUE(SUBSTITUTE(E13,"&lt;","")), IF(ISBLANK(E13)," ",E13))</f>
        <v xml:space="preserve"> </v>
      </c>
      <c r="F114" s="57" t="str">
        <f t="shared" si="72"/>
        <v xml:space="preserve"> </v>
      </c>
      <c r="G114" s="57" t="str">
        <f t="shared" si="72"/>
        <v xml:space="preserve"> </v>
      </c>
      <c r="H114" s="57" t="str">
        <f t="shared" si="72"/>
        <v xml:space="preserve"> </v>
      </c>
      <c r="I114" s="57" t="str">
        <f t="shared" si="72"/>
        <v xml:space="preserve"> </v>
      </c>
      <c r="J114" s="57" t="str">
        <f t="shared" si="72"/>
        <v xml:space="preserve"> </v>
      </c>
      <c r="K114" s="57" t="str">
        <f t="shared" si="72"/>
        <v xml:space="preserve"> </v>
      </c>
      <c r="L114" s="57" t="str">
        <f t="shared" si="72"/>
        <v xml:space="preserve"> </v>
      </c>
      <c r="M114" s="57" t="str">
        <f t="shared" si="72"/>
        <v xml:space="preserve"> </v>
      </c>
      <c r="N114" s="57" t="str">
        <f t="shared" si="72"/>
        <v xml:space="preserve"> </v>
      </c>
      <c r="O114" s="57" t="str">
        <f t="shared" si="72"/>
        <v xml:space="preserve"> </v>
      </c>
      <c r="P114" s="57" t="str">
        <f t="shared" si="72"/>
        <v xml:space="preserve"> </v>
      </c>
      <c r="Q114" s="57" t="str">
        <f t="shared" si="72"/>
        <v xml:space="preserve"> </v>
      </c>
      <c r="R114" s="57" t="str">
        <f t="shared" si="72"/>
        <v xml:space="preserve"> </v>
      </c>
      <c r="S114" s="57" t="str">
        <f t="shared" si="72"/>
        <v xml:space="preserve"> </v>
      </c>
      <c r="T114" s="5"/>
      <c r="U114" s="5"/>
      <c r="V114" s="5"/>
      <c r="W114" s="5"/>
      <c r="X114" s="5"/>
      <c r="Y114" s="5"/>
      <c r="Z114" s="5"/>
    </row>
    <row r="115" spans="1:26" ht="12" hidden="1" customHeight="1" x14ac:dyDescent="0.25">
      <c r="A115" s="5"/>
      <c r="B115" s="5"/>
      <c r="C115" s="5"/>
      <c r="D115" s="5"/>
      <c r="E115" s="57" t="str">
        <f t="shared" ref="E115:S115" si="73">IF(LEFT(E14,1)="&lt;",VALUE(SUBSTITUTE(E14,"&lt;","")), IF(ISBLANK(E14)," ",E14))</f>
        <v xml:space="preserve"> </v>
      </c>
      <c r="F115" s="57" t="str">
        <f t="shared" si="73"/>
        <v xml:space="preserve"> </v>
      </c>
      <c r="G115" s="57" t="str">
        <f t="shared" si="73"/>
        <v xml:space="preserve"> </v>
      </c>
      <c r="H115" s="57" t="str">
        <f t="shared" si="73"/>
        <v xml:space="preserve"> </v>
      </c>
      <c r="I115" s="57" t="str">
        <f t="shared" si="73"/>
        <v xml:space="preserve"> </v>
      </c>
      <c r="J115" s="57" t="str">
        <f t="shared" si="73"/>
        <v xml:space="preserve"> </v>
      </c>
      <c r="K115" s="57" t="str">
        <f t="shared" si="73"/>
        <v xml:space="preserve"> </v>
      </c>
      <c r="L115" s="57" t="str">
        <f t="shared" si="73"/>
        <v xml:space="preserve"> </v>
      </c>
      <c r="M115" s="57" t="str">
        <f t="shared" si="73"/>
        <v xml:space="preserve"> </v>
      </c>
      <c r="N115" s="57" t="str">
        <f t="shared" si="73"/>
        <v xml:space="preserve"> </v>
      </c>
      <c r="O115" s="57" t="str">
        <f t="shared" si="73"/>
        <v xml:space="preserve"> </v>
      </c>
      <c r="P115" s="57" t="str">
        <f t="shared" si="73"/>
        <v xml:space="preserve"> </v>
      </c>
      <c r="Q115" s="57" t="str">
        <f t="shared" si="73"/>
        <v xml:space="preserve"> </v>
      </c>
      <c r="R115" s="57" t="str">
        <f t="shared" si="73"/>
        <v xml:space="preserve"> </v>
      </c>
      <c r="S115" s="57" t="str">
        <f t="shared" si="73"/>
        <v xml:space="preserve"> </v>
      </c>
      <c r="T115" s="5"/>
      <c r="U115" s="5"/>
      <c r="V115" s="5"/>
      <c r="W115" s="5"/>
      <c r="X115" s="5"/>
      <c r="Y115" s="5"/>
      <c r="Z115" s="5"/>
    </row>
    <row r="116" spans="1:26" ht="12" hidden="1" customHeight="1" x14ac:dyDescent="0.25">
      <c r="A116" s="5"/>
      <c r="B116" s="5"/>
      <c r="C116" s="5"/>
      <c r="D116" s="5"/>
      <c r="E116" s="57" t="str">
        <f t="shared" ref="E116:S116" si="74">IF(LEFT(E15,1)="&lt;",VALUE(SUBSTITUTE(E15,"&lt;","")), IF(ISBLANK(E15)," ",E15))</f>
        <v xml:space="preserve"> </v>
      </c>
      <c r="F116" s="57" t="str">
        <f t="shared" si="74"/>
        <v xml:space="preserve"> </v>
      </c>
      <c r="G116" s="57" t="str">
        <f t="shared" si="74"/>
        <v xml:space="preserve"> </v>
      </c>
      <c r="H116" s="57" t="str">
        <f t="shared" si="74"/>
        <v xml:space="preserve"> </v>
      </c>
      <c r="I116" s="57" t="str">
        <f t="shared" si="74"/>
        <v xml:space="preserve"> </v>
      </c>
      <c r="J116" s="57" t="str">
        <f t="shared" si="74"/>
        <v xml:space="preserve"> </v>
      </c>
      <c r="K116" s="57" t="str">
        <f t="shared" si="74"/>
        <v xml:space="preserve"> </v>
      </c>
      <c r="L116" s="57" t="str">
        <f t="shared" si="74"/>
        <v xml:space="preserve"> </v>
      </c>
      <c r="M116" s="57" t="str">
        <f t="shared" si="74"/>
        <v xml:space="preserve"> </v>
      </c>
      <c r="N116" s="57" t="str">
        <f t="shared" si="74"/>
        <v xml:space="preserve"> </v>
      </c>
      <c r="O116" s="57" t="str">
        <f t="shared" si="74"/>
        <v xml:space="preserve"> </v>
      </c>
      <c r="P116" s="57" t="str">
        <f t="shared" si="74"/>
        <v xml:space="preserve"> </v>
      </c>
      <c r="Q116" s="57" t="str">
        <f t="shared" si="74"/>
        <v xml:space="preserve"> </v>
      </c>
      <c r="R116" s="57" t="str">
        <f t="shared" si="74"/>
        <v xml:space="preserve"> </v>
      </c>
      <c r="S116" s="57" t="str">
        <f t="shared" si="74"/>
        <v xml:space="preserve"> </v>
      </c>
      <c r="T116" s="5"/>
      <c r="U116" s="5"/>
      <c r="V116" s="5"/>
      <c r="W116" s="5"/>
      <c r="X116" s="5"/>
      <c r="Y116" s="5"/>
      <c r="Z116" s="5"/>
    </row>
    <row r="117" spans="1:26" ht="12" hidden="1" customHeight="1" x14ac:dyDescent="0.25">
      <c r="A117" s="5"/>
      <c r="B117" s="5"/>
      <c r="C117" s="5"/>
      <c r="D117" s="5"/>
      <c r="E117" s="57" t="str">
        <f t="shared" ref="E117:S117" si="75">IF(LEFT(E16,1)="&lt;",VALUE(SUBSTITUTE(E16,"&lt;","")), IF(ISBLANK(E16)," ",E16))</f>
        <v xml:space="preserve"> </v>
      </c>
      <c r="F117" s="57" t="str">
        <f t="shared" si="75"/>
        <v xml:space="preserve"> </v>
      </c>
      <c r="G117" s="57" t="str">
        <f t="shared" si="75"/>
        <v xml:space="preserve"> </v>
      </c>
      <c r="H117" s="57" t="str">
        <f t="shared" si="75"/>
        <v xml:space="preserve"> </v>
      </c>
      <c r="I117" s="57" t="str">
        <f t="shared" si="75"/>
        <v xml:space="preserve"> </v>
      </c>
      <c r="J117" s="57" t="str">
        <f t="shared" si="75"/>
        <v xml:space="preserve"> </v>
      </c>
      <c r="K117" s="57" t="str">
        <f t="shared" si="75"/>
        <v xml:space="preserve"> </v>
      </c>
      <c r="L117" s="57" t="str">
        <f t="shared" si="75"/>
        <v xml:space="preserve"> </v>
      </c>
      <c r="M117" s="57" t="str">
        <f t="shared" si="75"/>
        <v xml:space="preserve"> </v>
      </c>
      <c r="N117" s="57" t="str">
        <f t="shared" si="75"/>
        <v xml:space="preserve"> </v>
      </c>
      <c r="O117" s="57" t="str">
        <f t="shared" si="75"/>
        <v xml:space="preserve"> </v>
      </c>
      <c r="P117" s="57" t="str">
        <f t="shared" si="75"/>
        <v xml:space="preserve"> </v>
      </c>
      <c r="Q117" s="57" t="str">
        <f t="shared" si="75"/>
        <v xml:space="preserve"> </v>
      </c>
      <c r="R117" s="57" t="str">
        <f t="shared" si="75"/>
        <v xml:space="preserve"> </v>
      </c>
      <c r="S117" s="57" t="str">
        <f t="shared" si="75"/>
        <v xml:space="preserve"> </v>
      </c>
      <c r="T117" s="5"/>
      <c r="U117" s="5"/>
      <c r="V117" s="5"/>
      <c r="W117" s="5"/>
      <c r="X117" s="5"/>
      <c r="Y117" s="5"/>
      <c r="Z117" s="5"/>
    </row>
    <row r="118" spans="1:26" ht="12" hidden="1" customHeight="1" x14ac:dyDescent="0.25">
      <c r="A118" s="5"/>
      <c r="B118" s="5"/>
      <c r="C118" s="5"/>
      <c r="D118" s="5"/>
      <c r="E118" s="57" t="str">
        <f t="shared" ref="E118:S118" si="76">IF(LEFT(E17,1)="&lt;",VALUE(SUBSTITUTE(E17,"&lt;","")), IF(ISBLANK(E17)," ",E17))</f>
        <v xml:space="preserve"> </v>
      </c>
      <c r="F118" s="57" t="str">
        <f t="shared" si="76"/>
        <v xml:space="preserve"> </v>
      </c>
      <c r="G118" s="57" t="str">
        <f t="shared" si="76"/>
        <v xml:space="preserve"> </v>
      </c>
      <c r="H118" s="57" t="str">
        <f t="shared" si="76"/>
        <v xml:space="preserve"> </v>
      </c>
      <c r="I118" s="57" t="str">
        <f t="shared" si="76"/>
        <v xml:space="preserve"> </v>
      </c>
      <c r="J118" s="57" t="str">
        <f t="shared" si="76"/>
        <v xml:space="preserve"> </v>
      </c>
      <c r="K118" s="57" t="str">
        <f t="shared" si="76"/>
        <v xml:space="preserve"> </v>
      </c>
      <c r="L118" s="57" t="str">
        <f t="shared" si="76"/>
        <v xml:space="preserve"> </v>
      </c>
      <c r="M118" s="57" t="str">
        <f t="shared" si="76"/>
        <v xml:space="preserve"> </v>
      </c>
      <c r="N118" s="57" t="str">
        <f t="shared" si="76"/>
        <v xml:space="preserve"> </v>
      </c>
      <c r="O118" s="57" t="str">
        <f t="shared" si="76"/>
        <v xml:space="preserve"> </v>
      </c>
      <c r="P118" s="57" t="str">
        <f t="shared" si="76"/>
        <v xml:space="preserve"> </v>
      </c>
      <c r="Q118" s="57" t="str">
        <f t="shared" si="76"/>
        <v xml:space="preserve"> </v>
      </c>
      <c r="R118" s="57" t="str">
        <f t="shared" si="76"/>
        <v xml:space="preserve"> </v>
      </c>
      <c r="S118" s="57" t="str">
        <f t="shared" si="76"/>
        <v xml:space="preserve"> </v>
      </c>
      <c r="T118" s="5"/>
      <c r="U118" s="5"/>
      <c r="V118" s="5"/>
      <c r="W118" s="5"/>
      <c r="X118" s="5"/>
      <c r="Y118" s="5"/>
      <c r="Z118" s="5"/>
    </row>
    <row r="119" spans="1:26" ht="12" hidden="1" customHeight="1" x14ac:dyDescent="0.25">
      <c r="A119" s="5"/>
      <c r="B119" s="5"/>
      <c r="C119" s="5"/>
      <c r="D119" s="5"/>
      <c r="E119" s="57" t="str">
        <f t="shared" ref="E119:S119" si="77">IF(LEFT(E18,1)="&lt;",VALUE(SUBSTITUTE(E18,"&lt;","")), IF(ISBLANK(E18)," ",E18))</f>
        <v xml:space="preserve"> </v>
      </c>
      <c r="F119" s="57" t="str">
        <f t="shared" si="77"/>
        <v xml:space="preserve"> </v>
      </c>
      <c r="G119" s="57" t="str">
        <f t="shared" si="77"/>
        <v xml:space="preserve"> </v>
      </c>
      <c r="H119" s="57" t="str">
        <f t="shared" si="77"/>
        <v xml:space="preserve"> </v>
      </c>
      <c r="I119" s="57" t="str">
        <f t="shared" si="77"/>
        <v xml:space="preserve"> </v>
      </c>
      <c r="J119" s="57" t="str">
        <f t="shared" si="77"/>
        <v xml:space="preserve"> </v>
      </c>
      <c r="K119" s="57" t="str">
        <f t="shared" si="77"/>
        <v xml:space="preserve"> </v>
      </c>
      <c r="L119" s="57" t="str">
        <f t="shared" si="77"/>
        <v xml:space="preserve"> </v>
      </c>
      <c r="M119" s="57" t="str">
        <f t="shared" si="77"/>
        <v xml:space="preserve"> </v>
      </c>
      <c r="N119" s="57" t="str">
        <f t="shared" si="77"/>
        <v xml:space="preserve"> </v>
      </c>
      <c r="O119" s="57" t="str">
        <f t="shared" si="77"/>
        <v xml:space="preserve"> </v>
      </c>
      <c r="P119" s="57" t="str">
        <f t="shared" si="77"/>
        <v xml:space="preserve"> </v>
      </c>
      <c r="Q119" s="57" t="str">
        <f t="shared" si="77"/>
        <v xml:space="preserve"> </v>
      </c>
      <c r="R119" s="57" t="str">
        <f t="shared" si="77"/>
        <v xml:space="preserve"> </v>
      </c>
      <c r="S119" s="57" t="str">
        <f t="shared" si="77"/>
        <v xml:space="preserve"> </v>
      </c>
      <c r="T119" s="5"/>
      <c r="U119" s="5"/>
      <c r="V119" s="5"/>
      <c r="W119" s="5"/>
      <c r="X119" s="5"/>
      <c r="Y119" s="5"/>
      <c r="Z119" s="5"/>
    </row>
    <row r="120" spans="1:26" ht="12" hidden="1" customHeight="1" x14ac:dyDescent="0.25">
      <c r="A120" s="5"/>
      <c r="B120" s="5"/>
      <c r="C120" s="5"/>
      <c r="D120" s="5"/>
      <c r="E120" s="57" t="str">
        <f t="shared" ref="E120:S120" si="78">IF(LEFT(E19,1)="&lt;",VALUE(SUBSTITUTE(E19,"&lt;","")), IF(ISBLANK(E19)," ",E19))</f>
        <v xml:space="preserve"> </v>
      </c>
      <c r="F120" s="57" t="str">
        <f t="shared" si="78"/>
        <v xml:space="preserve"> </v>
      </c>
      <c r="G120" s="57" t="str">
        <f t="shared" si="78"/>
        <v xml:space="preserve"> </v>
      </c>
      <c r="H120" s="57" t="str">
        <f t="shared" si="78"/>
        <v xml:space="preserve"> </v>
      </c>
      <c r="I120" s="57" t="str">
        <f t="shared" si="78"/>
        <v xml:space="preserve"> </v>
      </c>
      <c r="J120" s="57" t="str">
        <f t="shared" si="78"/>
        <v xml:space="preserve"> </v>
      </c>
      <c r="K120" s="57" t="str">
        <f t="shared" si="78"/>
        <v xml:space="preserve"> </v>
      </c>
      <c r="L120" s="57" t="str">
        <f t="shared" si="78"/>
        <v xml:space="preserve"> </v>
      </c>
      <c r="M120" s="57" t="str">
        <f t="shared" si="78"/>
        <v xml:space="preserve"> </v>
      </c>
      <c r="N120" s="57" t="str">
        <f t="shared" si="78"/>
        <v xml:space="preserve"> </v>
      </c>
      <c r="O120" s="57" t="str">
        <f t="shared" si="78"/>
        <v xml:space="preserve"> </v>
      </c>
      <c r="P120" s="57" t="str">
        <f t="shared" si="78"/>
        <v xml:space="preserve"> </v>
      </c>
      <c r="Q120" s="57" t="str">
        <f t="shared" si="78"/>
        <v xml:space="preserve"> </v>
      </c>
      <c r="R120" s="57" t="str">
        <f t="shared" si="78"/>
        <v xml:space="preserve"> </v>
      </c>
      <c r="S120" s="57" t="str">
        <f t="shared" si="78"/>
        <v xml:space="preserve"> </v>
      </c>
      <c r="T120" s="5"/>
      <c r="U120" s="5"/>
      <c r="V120" s="5"/>
      <c r="W120" s="5"/>
      <c r="X120" s="5"/>
      <c r="Y120" s="5"/>
      <c r="Z120" s="5"/>
    </row>
    <row r="121" spans="1:26" ht="12" hidden="1" customHeight="1" x14ac:dyDescent="0.25">
      <c r="A121" s="5"/>
      <c r="B121" s="5"/>
      <c r="C121" s="5"/>
      <c r="D121" s="5"/>
      <c r="E121" s="57" t="str">
        <f t="shared" ref="E121:S121" si="79">IF(LEFT(E20,1)="&lt;",VALUE(SUBSTITUTE(E20,"&lt;","")), IF(ISBLANK(E20)," ",E20))</f>
        <v xml:space="preserve"> </v>
      </c>
      <c r="F121" s="57" t="str">
        <f t="shared" si="79"/>
        <v xml:space="preserve"> </v>
      </c>
      <c r="G121" s="57" t="str">
        <f t="shared" si="79"/>
        <v xml:space="preserve"> </v>
      </c>
      <c r="H121" s="57" t="str">
        <f t="shared" si="79"/>
        <v xml:space="preserve"> </v>
      </c>
      <c r="I121" s="57" t="str">
        <f t="shared" si="79"/>
        <v xml:space="preserve"> </v>
      </c>
      <c r="J121" s="57" t="str">
        <f t="shared" si="79"/>
        <v xml:space="preserve"> </v>
      </c>
      <c r="K121" s="57" t="str">
        <f t="shared" si="79"/>
        <v xml:space="preserve"> </v>
      </c>
      <c r="L121" s="57" t="str">
        <f t="shared" si="79"/>
        <v xml:space="preserve"> </v>
      </c>
      <c r="M121" s="57" t="str">
        <f t="shared" si="79"/>
        <v xml:space="preserve"> </v>
      </c>
      <c r="N121" s="57" t="str">
        <f t="shared" si="79"/>
        <v xml:space="preserve"> </v>
      </c>
      <c r="O121" s="57" t="str">
        <f t="shared" si="79"/>
        <v xml:space="preserve"> </v>
      </c>
      <c r="P121" s="57" t="str">
        <f t="shared" si="79"/>
        <v xml:space="preserve"> </v>
      </c>
      <c r="Q121" s="57" t="str">
        <f t="shared" si="79"/>
        <v xml:space="preserve"> </v>
      </c>
      <c r="R121" s="57" t="str">
        <f t="shared" si="79"/>
        <v xml:space="preserve"> </v>
      </c>
      <c r="S121" s="57" t="str">
        <f t="shared" si="79"/>
        <v xml:space="preserve"> </v>
      </c>
      <c r="T121" s="5"/>
      <c r="U121" s="5"/>
      <c r="V121" s="5"/>
      <c r="W121" s="5"/>
      <c r="X121" s="5"/>
      <c r="Y121" s="5"/>
      <c r="Z121" s="5"/>
    </row>
    <row r="122" spans="1:26" ht="12" hidden="1" customHeight="1" x14ac:dyDescent="0.25">
      <c r="A122" s="5"/>
      <c r="B122" s="5"/>
      <c r="C122" s="5"/>
      <c r="D122" s="5"/>
      <c r="E122" s="57" t="str">
        <f t="shared" ref="E122:S122" si="80">IF(LEFT(E21,1)="&lt;",VALUE(SUBSTITUTE(E21,"&lt;","")), IF(ISBLANK(E21)," ",E21))</f>
        <v xml:space="preserve"> </v>
      </c>
      <c r="F122" s="57" t="str">
        <f t="shared" si="80"/>
        <v xml:space="preserve"> </v>
      </c>
      <c r="G122" s="57" t="str">
        <f t="shared" si="80"/>
        <v xml:space="preserve"> </v>
      </c>
      <c r="H122" s="57" t="str">
        <f t="shared" si="80"/>
        <v xml:space="preserve"> </v>
      </c>
      <c r="I122" s="57" t="str">
        <f t="shared" si="80"/>
        <v xml:space="preserve"> </v>
      </c>
      <c r="J122" s="57" t="str">
        <f t="shared" si="80"/>
        <v xml:space="preserve"> </v>
      </c>
      <c r="K122" s="57" t="str">
        <f t="shared" si="80"/>
        <v xml:space="preserve"> </v>
      </c>
      <c r="L122" s="57" t="str">
        <f t="shared" si="80"/>
        <v xml:space="preserve"> </v>
      </c>
      <c r="M122" s="57" t="str">
        <f t="shared" si="80"/>
        <v xml:space="preserve"> </v>
      </c>
      <c r="N122" s="57" t="str">
        <f t="shared" si="80"/>
        <v xml:space="preserve"> </v>
      </c>
      <c r="O122" s="57" t="str">
        <f t="shared" si="80"/>
        <v xml:space="preserve"> </v>
      </c>
      <c r="P122" s="57" t="str">
        <f t="shared" si="80"/>
        <v xml:space="preserve"> </v>
      </c>
      <c r="Q122" s="57" t="str">
        <f t="shared" si="80"/>
        <v xml:space="preserve"> </v>
      </c>
      <c r="R122" s="57" t="str">
        <f t="shared" si="80"/>
        <v xml:space="preserve"> </v>
      </c>
      <c r="S122" s="57" t="str">
        <f t="shared" si="80"/>
        <v xml:space="preserve"> </v>
      </c>
      <c r="T122" s="5"/>
      <c r="U122" s="5"/>
      <c r="V122" s="5"/>
      <c r="W122" s="5"/>
      <c r="X122" s="5"/>
      <c r="Y122" s="5"/>
      <c r="Z122" s="5"/>
    </row>
    <row r="123" spans="1:26" ht="12" hidden="1" customHeight="1" x14ac:dyDescent="0.25">
      <c r="A123" s="5"/>
      <c r="B123" s="5"/>
      <c r="C123" s="5"/>
      <c r="D123" s="5"/>
      <c r="E123" s="57" t="str">
        <f t="shared" ref="E123:S123" si="81">IF(LEFT(E22,1)="&lt;",VALUE(SUBSTITUTE(E22,"&lt;","")), IF(ISBLANK(E22)," ",E22))</f>
        <v xml:space="preserve"> </v>
      </c>
      <c r="F123" s="57" t="str">
        <f t="shared" si="81"/>
        <v xml:space="preserve"> </v>
      </c>
      <c r="G123" s="57" t="str">
        <f t="shared" si="81"/>
        <v xml:space="preserve"> </v>
      </c>
      <c r="H123" s="57" t="str">
        <f t="shared" si="81"/>
        <v xml:space="preserve"> </v>
      </c>
      <c r="I123" s="57" t="str">
        <f t="shared" si="81"/>
        <v xml:space="preserve"> </v>
      </c>
      <c r="J123" s="57" t="str">
        <f t="shared" si="81"/>
        <v xml:space="preserve"> </v>
      </c>
      <c r="K123" s="57" t="str">
        <f t="shared" si="81"/>
        <v xml:space="preserve"> </v>
      </c>
      <c r="L123" s="57" t="str">
        <f t="shared" si="81"/>
        <v xml:space="preserve"> </v>
      </c>
      <c r="M123" s="57" t="str">
        <f t="shared" si="81"/>
        <v xml:space="preserve"> </v>
      </c>
      <c r="N123" s="57" t="str">
        <f t="shared" si="81"/>
        <v xml:space="preserve"> </v>
      </c>
      <c r="O123" s="57" t="str">
        <f t="shared" si="81"/>
        <v xml:space="preserve"> </v>
      </c>
      <c r="P123" s="57" t="str">
        <f t="shared" si="81"/>
        <v xml:space="preserve"> </v>
      </c>
      <c r="Q123" s="57" t="str">
        <f t="shared" si="81"/>
        <v xml:space="preserve"> </v>
      </c>
      <c r="R123" s="57" t="str">
        <f t="shared" si="81"/>
        <v xml:space="preserve"> </v>
      </c>
      <c r="S123" s="57" t="str">
        <f t="shared" si="81"/>
        <v xml:space="preserve"> </v>
      </c>
      <c r="T123" s="5"/>
      <c r="U123" s="5"/>
      <c r="V123" s="5"/>
      <c r="W123" s="5"/>
      <c r="X123" s="5"/>
      <c r="Y123" s="5"/>
      <c r="Z123" s="5"/>
    </row>
    <row r="124" spans="1:26" ht="12" hidden="1" customHeight="1" x14ac:dyDescent="0.25">
      <c r="A124" s="5"/>
      <c r="B124" s="5"/>
      <c r="C124" s="5"/>
      <c r="D124" s="5"/>
      <c r="E124" s="57" t="str">
        <f t="shared" ref="E124:S124" si="82">IF(LEFT(E23,1)="&lt;",VALUE(SUBSTITUTE(E23,"&lt;","")), IF(ISBLANK(E23)," ",E23))</f>
        <v xml:space="preserve"> </v>
      </c>
      <c r="F124" s="57" t="str">
        <f t="shared" si="82"/>
        <v xml:space="preserve"> </v>
      </c>
      <c r="G124" s="57" t="str">
        <f t="shared" si="82"/>
        <v xml:space="preserve"> </v>
      </c>
      <c r="H124" s="57" t="str">
        <f t="shared" si="82"/>
        <v xml:space="preserve"> </v>
      </c>
      <c r="I124" s="57" t="str">
        <f t="shared" si="82"/>
        <v xml:space="preserve"> </v>
      </c>
      <c r="J124" s="57" t="str">
        <f t="shared" si="82"/>
        <v xml:space="preserve"> </v>
      </c>
      <c r="K124" s="57" t="str">
        <f t="shared" si="82"/>
        <v xml:space="preserve"> </v>
      </c>
      <c r="L124" s="57" t="str">
        <f t="shared" si="82"/>
        <v xml:space="preserve"> </v>
      </c>
      <c r="M124" s="57" t="str">
        <f t="shared" si="82"/>
        <v xml:space="preserve"> </v>
      </c>
      <c r="N124" s="57" t="str">
        <f t="shared" si="82"/>
        <v xml:space="preserve"> </v>
      </c>
      <c r="O124" s="57" t="str">
        <f t="shared" si="82"/>
        <v xml:space="preserve"> </v>
      </c>
      <c r="P124" s="57" t="str">
        <f t="shared" si="82"/>
        <v xml:space="preserve"> </v>
      </c>
      <c r="Q124" s="57" t="str">
        <f t="shared" si="82"/>
        <v xml:space="preserve"> </v>
      </c>
      <c r="R124" s="57" t="str">
        <f t="shared" si="82"/>
        <v xml:space="preserve"> </v>
      </c>
      <c r="S124" s="57" t="str">
        <f t="shared" si="82"/>
        <v xml:space="preserve"> </v>
      </c>
      <c r="T124" s="5"/>
      <c r="U124" s="5"/>
      <c r="V124" s="5"/>
      <c r="W124" s="5"/>
      <c r="X124" s="5"/>
      <c r="Y124" s="5"/>
      <c r="Z124" s="5"/>
    </row>
    <row r="125" spans="1:26" ht="12" hidden="1" customHeight="1" x14ac:dyDescent="0.25">
      <c r="A125" s="5"/>
      <c r="B125" s="5"/>
      <c r="C125" s="5"/>
      <c r="D125" s="5"/>
      <c r="E125" s="57" t="str">
        <f t="shared" ref="E125:S125" si="83">IF(LEFT(E24,1)="&lt;",VALUE(SUBSTITUTE(E24,"&lt;","")), IF(ISBLANK(E24)," ",E24))</f>
        <v xml:space="preserve"> </v>
      </c>
      <c r="F125" s="57" t="str">
        <f t="shared" si="83"/>
        <v xml:space="preserve"> </v>
      </c>
      <c r="G125" s="57" t="str">
        <f t="shared" si="83"/>
        <v xml:space="preserve"> </v>
      </c>
      <c r="H125" s="57" t="str">
        <f t="shared" si="83"/>
        <v xml:space="preserve"> </v>
      </c>
      <c r="I125" s="57" t="str">
        <f t="shared" si="83"/>
        <v xml:space="preserve"> </v>
      </c>
      <c r="J125" s="57" t="str">
        <f t="shared" si="83"/>
        <v xml:space="preserve"> </v>
      </c>
      <c r="K125" s="57" t="str">
        <f t="shared" si="83"/>
        <v xml:space="preserve"> </v>
      </c>
      <c r="L125" s="57" t="str">
        <f t="shared" si="83"/>
        <v xml:space="preserve"> </v>
      </c>
      <c r="M125" s="57" t="str">
        <f t="shared" si="83"/>
        <v xml:space="preserve"> </v>
      </c>
      <c r="N125" s="57" t="str">
        <f t="shared" si="83"/>
        <v xml:space="preserve"> </v>
      </c>
      <c r="O125" s="57" t="str">
        <f t="shared" si="83"/>
        <v xml:space="preserve"> </v>
      </c>
      <c r="P125" s="57" t="str">
        <f t="shared" si="83"/>
        <v xml:space="preserve"> </v>
      </c>
      <c r="Q125" s="57" t="str">
        <f t="shared" si="83"/>
        <v xml:space="preserve"> </v>
      </c>
      <c r="R125" s="57" t="str">
        <f t="shared" si="83"/>
        <v xml:space="preserve"> </v>
      </c>
      <c r="S125" s="57" t="str">
        <f t="shared" si="83"/>
        <v xml:space="preserve"> </v>
      </c>
      <c r="T125" s="5"/>
      <c r="U125" s="5"/>
      <c r="V125" s="5"/>
      <c r="W125" s="5"/>
      <c r="X125" s="5"/>
      <c r="Y125" s="5"/>
      <c r="Z125" s="5"/>
    </row>
    <row r="126" spans="1:26" ht="12" hidden="1" customHeight="1" x14ac:dyDescent="0.25">
      <c r="A126" s="5"/>
      <c r="B126" s="5"/>
      <c r="C126" s="5"/>
      <c r="D126" s="5"/>
      <c r="E126" s="57" t="str">
        <f t="shared" ref="E126:S126" si="84">IF(LEFT(E25,1)="&lt;",VALUE(SUBSTITUTE(E25,"&lt;","")), IF(ISBLANK(E25)," ",E25))</f>
        <v xml:space="preserve"> </v>
      </c>
      <c r="F126" s="57" t="str">
        <f t="shared" si="84"/>
        <v xml:space="preserve"> </v>
      </c>
      <c r="G126" s="57" t="str">
        <f t="shared" si="84"/>
        <v xml:space="preserve"> </v>
      </c>
      <c r="H126" s="57" t="str">
        <f t="shared" si="84"/>
        <v xml:space="preserve"> </v>
      </c>
      <c r="I126" s="57" t="str">
        <f t="shared" si="84"/>
        <v xml:space="preserve"> </v>
      </c>
      <c r="J126" s="57" t="str">
        <f t="shared" si="84"/>
        <v xml:space="preserve"> </v>
      </c>
      <c r="K126" s="57" t="str">
        <f t="shared" si="84"/>
        <v xml:space="preserve"> </v>
      </c>
      <c r="L126" s="57" t="str">
        <f t="shared" si="84"/>
        <v xml:space="preserve"> </v>
      </c>
      <c r="M126" s="57" t="str">
        <f t="shared" si="84"/>
        <v xml:space="preserve"> </v>
      </c>
      <c r="N126" s="57" t="str">
        <f t="shared" si="84"/>
        <v xml:space="preserve"> </v>
      </c>
      <c r="O126" s="57" t="str">
        <f t="shared" si="84"/>
        <v xml:space="preserve"> </v>
      </c>
      <c r="P126" s="57" t="str">
        <f t="shared" si="84"/>
        <v xml:space="preserve"> </v>
      </c>
      <c r="Q126" s="57" t="str">
        <f t="shared" si="84"/>
        <v xml:space="preserve"> </v>
      </c>
      <c r="R126" s="57" t="str">
        <f t="shared" si="84"/>
        <v xml:space="preserve"> </v>
      </c>
      <c r="S126" s="57" t="str">
        <f t="shared" si="84"/>
        <v xml:space="preserve"> </v>
      </c>
      <c r="T126" s="5"/>
      <c r="U126" s="5"/>
      <c r="V126" s="5"/>
      <c r="W126" s="5"/>
      <c r="X126" s="5"/>
      <c r="Y126" s="5"/>
      <c r="Z126" s="5"/>
    </row>
    <row r="127" spans="1:26" ht="12" hidden="1" customHeight="1" x14ac:dyDescent="0.25">
      <c r="A127" s="5"/>
      <c r="B127" s="5"/>
      <c r="C127" s="5"/>
      <c r="D127" s="5"/>
      <c r="E127" s="57" t="str">
        <f t="shared" ref="E127:S127" si="85">IF(LEFT(E26,1)="&lt;",VALUE(SUBSTITUTE(E26,"&lt;","")), IF(ISBLANK(E26)," ",E26))</f>
        <v xml:space="preserve"> </v>
      </c>
      <c r="F127" s="57" t="str">
        <f t="shared" si="85"/>
        <v xml:space="preserve"> </v>
      </c>
      <c r="G127" s="57" t="str">
        <f t="shared" si="85"/>
        <v xml:space="preserve"> </v>
      </c>
      <c r="H127" s="57" t="str">
        <f t="shared" si="85"/>
        <v xml:space="preserve"> </v>
      </c>
      <c r="I127" s="57" t="str">
        <f t="shared" si="85"/>
        <v xml:space="preserve"> </v>
      </c>
      <c r="J127" s="57" t="str">
        <f t="shared" si="85"/>
        <v xml:space="preserve"> </v>
      </c>
      <c r="K127" s="57" t="str">
        <f t="shared" si="85"/>
        <v xml:space="preserve"> </v>
      </c>
      <c r="L127" s="57" t="str">
        <f t="shared" si="85"/>
        <v xml:space="preserve"> </v>
      </c>
      <c r="M127" s="57" t="str">
        <f t="shared" si="85"/>
        <v xml:space="preserve"> </v>
      </c>
      <c r="N127" s="57" t="str">
        <f t="shared" si="85"/>
        <v xml:space="preserve"> </v>
      </c>
      <c r="O127" s="57" t="str">
        <f t="shared" si="85"/>
        <v xml:space="preserve"> </v>
      </c>
      <c r="P127" s="57" t="str">
        <f t="shared" si="85"/>
        <v xml:space="preserve"> </v>
      </c>
      <c r="Q127" s="57" t="str">
        <f t="shared" si="85"/>
        <v xml:space="preserve"> </v>
      </c>
      <c r="R127" s="57" t="str">
        <f t="shared" si="85"/>
        <v xml:space="preserve"> </v>
      </c>
      <c r="S127" s="57" t="str">
        <f t="shared" si="85"/>
        <v xml:space="preserve"> </v>
      </c>
      <c r="T127" s="5"/>
      <c r="U127" s="5"/>
      <c r="V127" s="5"/>
      <c r="W127" s="5"/>
      <c r="X127" s="5"/>
      <c r="Y127" s="5"/>
      <c r="Z127" s="5"/>
    </row>
    <row r="128" spans="1:26" ht="12" hidden="1" customHeight="1" x14ac:dyDescent="0.25">
      <c r="A128" s="5"/>
      <c r="B128" s="5"/>
      <c r="C128" s="5"/>
      <c r="D128" s="5"/>
      <c r="E128" s="57" t="str">
        <f t="shared" ref="E128:S128" si="86">IF(LEFT(E27,1)="&lt;",VALUE(SUBSTITUTE(E27,"&lt;","")), IF(ISBLANK(E27)," ",E27))</f>
        <v xml:space="preserve"> </v>
      </c>
      <c r="F128" s="57" t="str">
        <f t="shared" si="86"/>
        <v xml:space="preserve"> </v>
      </c>
      <c r="G128" s="57" t="str">
        <f t="shared" si="86"/>
        <v xml:space="preserve"> </v>
      </c>
      <c r="H128" s="57" t="str">
        <f t="shared" si="86"/>
        <v xml:space="preserve"> </v>
      </c>
      <c r="I128" s="57" t="str">
        <f t="shared" si="86"/>
        <v xml:space="preserve"> </v>
      </c>
      <c r="J128" s="57" t="str">
        <f t="shared" si="86"/>
        <v xml:space="preserve"> </v>
      </c>
      <c r="K128" s="57" t="str">
        <f t="shared" si="86"/>
        <v xml:space="preserve"> </v>
      </c>
      <c r="L128" s="57" t="str">
        <f t="shared" si="86"/>
        <v xml:space="preserve"> </v>
      </c>
      <c r="M128" s="57" t="str">
        <f t="shared" si="86"/>
        <v xml:space="preserve"> </v>
      </c>
      <c r="N128" s="57" t="str">
        <f t="shared" si="86"/>
        <v xml:space="preserve"> </v>
      </c>
      <c r="O128" s="57" t="str">
        <f t="shared" si="86"/>
        <v xml:space="preserve"> </v>
      </c>
      <c r="P128" s="57" t="str">
        <f t="shared" si="86"/>
        <v xml:space="preserve"> </v>
      </c>
      <c r="Q128" s="57" t="str">
        <f t="shared" si="86"/>
        <v xml:space="preserve"> </v>
      </c>
      <c r="R128" s="57" t="str">
        <f t="shared" si="86"/>
        <v xml:space="preserve"> </v>
      </c>
      <c r="S128" s="57" t="str">
        <f t="shared" si="86"/>
        <v xml:space="preserve"> </v>
      </c>
      <c r="T128" s="5"/>
      <c r="U128" s="5"/>
      <c r="V128" s="5"/>
      <c r="W128" s="5"/>
      <c r="X128" s="5"/>
      <c r="Y128" s="5"/>
      <c r="Z128" s="5"/>
    </row>
    <row r="129" spans="1:26" ht="12" hidden="1" customHeight="1" x14ac:dyDescent="0.25">
      <c r="A129" s="5"/>
      <c r="B129" s="5"/>
      <c r="C129" s="5"/>
      <c r="D129" s="5"/>
      <c r="E129" s="57" t="str">
        <f t="shared" ref="E129:S129" si="87">IF(LEFT(E28,1)="&lt;",VALUE(SUBSTITUTE(E28,"&lt;","")), IF(ISBLANK(E28)," ",E28))</f>
        <v xml:space="preserve"> </v>
      </c>
      <c r="F129" s="57" t="str">
        <f t="shared" si="87"/>
        <v xml:space="preserve"> </v>
      </c>
      <c r="G129" s="57" t="str">
        <f t="shared" si="87"/>
        <v xml:space="preserve"> </v>
      </c>
      <c r="H129" s="57" t="str">
        <f t="shared" si="87"/>
        <v xml:space="preserve"> </v>
      </c>
      <c r="I129" s="57" t="str">
        <f t="shared" si="87"/>
        <v xml:space="preserve"> </v>
      </c>
      <c r="J129" s="57" t="str">
        <f t="shared" si="87"/>
        <v xml:space="preserve"> </v>
      </c>
      <c r="K129" s="57" t="str">
        <f t="shared" si="87"/>
        <v xml:space="preserve"> </v>
      </c>
      <c r="L129" s="57" t="str">
        <f t="shared" si="87"/>
        <v xml:space="preserve"> </v>
      </c>
      <c r="M129" s="57" t="str">
        <f t="shared" si="87"/>
        <v xml:space="preserve"> </v>
      </c>
      <c r="N129" s="57" t="str">
        <f t="shared" si="87"/>
        <v xml:space="preserve"> </v>
      </c>
      <c r="O129" s="57" t="str">
        <f t="shared" si="87"/>
        <v xml:space="preserve"> </v>
      </c>
      <c r="P129" s="57" t="str">
        <f t="shared" si="87"/>
        <v xml:space="preserve"> </v>
      </c>
      <c r="Q129" s="57" t="str">
        <f t="shared" si="87"/>
        <v xml:space="preserve"> </v>
      </c>
      <c r="R129" s="57" t="str">
        <f t="shared" si="87"/>
        <v xml:space="preserve"> </v>
      </c>
      <c r="S129" s="57" t="str">
        <f t="shared" si="87"/>
        <v xml:space="preserve"> </v>
      </c>
      <c r="T129" s="5"/>
      <c r="U129" s="5"/>
      <c r="V129" s="5"/>
      <c r="W129" s="5"/>
      <c r="X129" s="5"/>
      <c r="Y129" s="5"/>
      <c r="Z129" s="5"/>
    </row>
    <row r="130" spans="1:26" ht="12" hidden="1" customHeight="1" x14ac:dyDescent="0.25">
      <c r="A130" s="5"/>
      <c r="B130" s="5"/>
      <c r="C130" s="5"/>
      <c r="D130" s="5"/>
      <c r="E130" s="57" t="str">
        <f t="shared" ref="E130:S130" si="88">IF(LEFT(E29,1)="&lt;",VALUE(SUBSTITUTE(E29,"&lt;","")), IF(ISBLANK(E29)," ",E29))</f>
        <v xml:space="preserve"> </v>
      </c>
      <c r="F130" s="57" t="str">
        <f t="shared" si="88"/>
        <v xml:space="preserve"> </v>
      </c>
      <c r="G130" s="57" t="str">
        <f t="shared" si="88"/>
        <v xml:space="preserve"> </v>
      </c>
      <c r="H130" s="57" t="str">
        <f t="shared" si="88"/>
        <v xml:space="preserve"> </v>
      </c>
      <c r="I130" s="57" t="str">
        <f t="shared" si="88"/>
        <v xml:space="preserve"> </v>
      </c>
      <c r="J130" s="57" t="str">
        <f t="shared" si="88"/>
        <v xml:space="preserve"> </v>
      </c>
      <c r="K130" s="57" t="str">
        <f t="shared" si="88"/>
        <v xml:space="preserve"> </v>
      </c>
      <c r="L130" s="57" t="str">
        <f t="shared" si="88"/>
        <v xml:space="preserve"> </v>
      </c>
      <c r="M130" s="57" t="str">
        <f t="shared" si="88"/>
        <v xml:space="preserve"> </v>
      </c>
      <c r="N130" s="57" t="str">
        <f t="shared" si="88"/>
        <v xml:space="preserve"> </v>
      </c>
      <c r="O130" s="57" t="str">
        <f t="shared" si="88"/>
        <v xml:space="preserve"> </v>
      </c>
      <c r="P130" s="57" t="str">
        <f t="shared" si="88"/>
        <v xml:space="preserve"> </v>
      </c>
      <c r="Q130" s="57" t="str">
        <f t="shared" si="88"/>
        <v xml:space="preserve"> </v>
      </c>
      <c r="R130" s="57" t="str">
        <f t="shared" si="88"/>
        <v xml:space="preserve"> </v>
      </c>
      <c r="S130" s="57" t="str">
        <f t="shared" si="88"/>
        <v xml:space="preserve"> </v>
      </c>
      <c r="T130" s="5"/>
      <c r="U130" s="5"/>
      <c r="V130" s="5"/>
      <c r="W130" s="5"/>
      <c r="X130" s="5"/>
      <c r="Y130" s="5"/>
      <c r="Z130" s="5"/>
    </row>
    <row r="131" spans="1:26" ht="12" hidden="1" customHeight="1" x14ac:dyDescent="0.25">
      <c r="A131" s="5"/>
      <c r="B131" s="5"/>
      <c r="C131" s="5"/>
      <c r="D131" s="5"/>
      <c r="E131" s="57" t="str">
        <f t="shared" ref="E131:S131" si="89">IF(LEFT(E30,1)="&lt;",VALUE(SUBSTITUTE(E30,"&lt;","")), IF(ISBLANK(E30)," ",E30))</f>
        <v xml:space="preserve"> </v>
      </c>
      <c r="F131" s="57" t="str">
        <f t="shared" si="89"/>
        <v xml:space="preserve"> </v>
      </c>
      <c r="G131" s="57" t="str">
        <f t="shared" si="89"/>
        <v xml:space="preserve"> </v>
      </c>
      <c r="H131" s="57" t="str">
        <f t="shared" si="89"/>
        <v xml:space="preserve"> </v>
      </c>
      <c r="I131" s="57" t="str">
        <f t="shared" si="89"/>
        <v xml:space="preserve"> </v>
      </c>
      <c r="J131" s="57" t="str">
        <f t="shared" si="89"/>
        <v xml:space="preserve"> </v>
      </c>
      <c r="K131" s="57" t="str">
        <f t="shared" si="89"/>
        <v xml:space="preserve"> </v>
      </c>
      <c r="L131" s="57" t="str">
        <f t="shared" si="89"/>
        <v xml:space="preserve"> </v>
      </c>
      <c r="M131" s="57" t="str">
        <f t="shared" si="89"/>
        <v xml:space="preserve"> </v>
      </c>
      <c r="N131" s="57" t="str">
        <f t="shared" si="89"/>
        <v xml:space="preserve"> </v>
      </c>
      <c r="O131" s="57" t="str">
        <f t="shared" si="89"/>
        <v xml:space="preserve"> </v>
      </c>
      <c r="P131" s="57" t="str">
        <f t="shared" si="89"/>
        <v xml:space="preserve"> </v>
      </c>
      <c r="Q131" s="57" t="str">
        <f t="shared" si="89"/>
        <v xml:space="preserve"> </v>
      </c>
      <c r="R131" s="57" t="str">
        <f t="shared" si="89"/>
        <v xml:space="preserve"> </v>
      </c>
      <c r="S131" s="57" t="str">
        <f t="shared" si="89"/>
        <v xml:space="preserve"> </v>
      </c>
      <c r="T131" s="5"/>
      <c r="U131" s="5"/>
      <c r="V131" s="5"/>
      <c r="W131" s="5"/>
      <c r="X131" s="5"/>
      <c r="Y131" s="5"/>
      <c r="Z131" s="5"/>
    </row>
    <row r="132" spans="1:26" ht="12" hidden="1" customHeight="1" x14ac:dyDescent="0.25">
      <c r="A132" s="5"/>
      <c r="B132" s="5"/>
      <c r="C132" s="5"/>
      <c r="D132" s="5"/>
      <c r="E132" s="57" t="str">
        <f t="shared" ref="E132:S132" si="90">IF(LEFT(E31,1)="&lt;",VALUE(SUBSTITUTE(E31,"&lt;","")), IF(ISBLANK(E31)," ",E31))</f>
        <v xml:space="preserve"> </v>
      </c>
      <c r="F132" s="57" t="str">
        <f t="shared" si="90"/>
        <v xml:space="preserve"> </v>
      </c>
      <c r="G132" s="57" t="str">
        <f t="shared" si="90"/>
        <v xml:space="preserve"> </v>
      </c>
      <c r="H132" s="57" t="str">
        <f t="shared" si="90"/>
        <v xml:space="preserve"> </v>
      </c>
      <c r="I132" s="57" t="str">
        <f t="shared" si="90"/>
        <v xml:space="preserve"> </v>
      </c>
      <c r="J132" s="57" t="str">
        <f t="shared" si="90"/>
        <v xml:space="preserve"> </v>
      </c>
      <c r="K132" s="57" t="str">
        <f t="shared" si="90"/>
        <v xml:space="preserve"> </v>
      </c>
      <c r="L132" s="57" t="str">
        <f t="shared" si="90"/>
        <v xml:space="preserve"> </v>
      </c>
      <c r="M132" s="57" t="str">
        <f t="shared" si="90"/>
        <v xml:space="preserve"> </v>
      </c>
      <c r="N132" s="57" t="str">
        <f t="shared" si="90"/>
        <v xml:space="preserve"> </v>
      </c>
      <c r="O132" s="57" t="str">
        <f t="shared" si="90"/>
        <v xml:space="preserve"> </v>
      </c>
      <c r="P132" s="57" t="str">
        <f t="shared" si="90"/>
        <v xml:space="preserve"> </v>
      </c>
      <c r="Q132" s="57" t="str">
        <f t="shared" si="90"/>
        <v xml:space="preserve"> </v>
      </c>
      <c r="R132" s="57" t="str">
        <f t="shared" si="90"/>
        <v xml:space="preserve"> </v>
      </c>
      <c r="S132" s="57" t="str">
        <f t="shared" si="90"/>
        <v xml:space="preserve"> </v>
      </c>
      <c r="T132" s="5"/>
      <c r="U132" s="5"/>
      <c r="V132" s="5"/>
      <c r="W132" s="5"/>
      <c r="X132" s="5"/>
      <c r="Y132" s="5"/>
      <c r="Z132" s="5"/>
    </row>
    <row r="133" spans="1:26" ht="12" hidden="1" customHeight="1" x14ac:dyDescent="0.25">
      <c r="A133" s="5"/>
      <c r="B133" s="5"/>
      <c r="C133" s="5"/>
      <c r="D133" s="5"/>
      <c r="E133" s="57" t="str">
        <f t="shared" ref="E133:S133" si="91">IF(LEFT(E32,1)="&lt;",VALUE(SUBSTITUTE(E32,"&lt;","")), IF(ISBLANK(E32)," ",E32))</f>
        <v xml:space="preserve"> </v>
      </c>
      <c r="F133" s="57" t="str">
        <f t="shared" si="91"/>
        <v xml:space="preserve"> </v>
      </c>
      <c r="G133" s="57" t="str">
        <f t="shared" si="91"/>
        <v xml:space="preserve"> </v>
      </c>
      <c r="H133" s="57" t="str">
        <f t="shared" si="91"/>
        <v xml:space="preserve"> </v>
      </c>
      <c r="I133" s="57" t="str">
        <f t="shared" si="91"/>
        <v xml:space="preserve"> </v>
      </c>
      <c r="J133" s="57" t="str">
        <f t="shared" si="91"/>
        <v xml:space="preserve"> </v>
      </c>
      <c r="K133" s="57" t="str">
        <f t="shared" si="91"/>
        <v xml:space="preserve"> </v>
      </c>
      <c r="L133" s="57" t="str">
        <f t="shared" si="91"/>
        <v xml:space="preserve"> </v>
      </c>
      <c r="M133" s="57" t="str">
        <f t="shared" si="91"/>
        <v xml:space="preserve"> </v>
      </c>
      <c r="N133" s="57" t="str">
        <f t="shared" si="91"/>
        <v xml:space="preserve"> </v>
      </c>
      <c r="O133" s="57" t="str">
        <f t="shared" si="91"/>
        <v xml:space="preserve"> </v>
      </c>
      <c r="P133" s="57" t="str">
        <f t="shared" si="91"/>
        <v xml:space="preserve"> </v>
      </c>
      <c r="Q133" s="57" t="str">
        <f t="shared" si="91"/>
        <v xml:space="preserve"> </v>
      </c>
      <c r="R133" s="57" t="str">
        <f t="shared" si="91"/>
        <v xml:space="preserve"> </v>
      </c>
      <c r="S133" s="57" t="str">
        <f t="shared" si="91"/>
        <v xml:space="preserve"> </v>
      </c>
      <c r="T133" s="5"/>
      <c r="U133" s="5"/>
      <c r="V133" s="5"/>
      <c r="W133" s="5"/>
      <c r="X133" s="5"/>
      <c r="Y133" s="5"/>
      <c r="Z133" s="5"/>
    </row>
    <row r="134" spans="1:26" ht="12" hidden="1" customHeight="1" x14ac:dyDescent="0.25">
      <c r="A134" s="5"/>
      <c r="B134" s="5"/>
      <c r="C134" s="5"/>
      <c r="D134" s="5"/>
      <c r="E134" s="57" t="str">
        <f t="shared" ref="E134:S134" si="92">IF(LEFT(E33,1)="&lt;",VALUE(SUBSTITUTE(E33,"&lt;","")), IF(ISBLANK(E33)," ",E33))</f>
        <v xml:space="preserve"> </v>
      </c>
      <c r="F134" s="57" t="str">
        <f t="shared" si="92"/>
        <v xml:space="preserve"> </v>
      </c>
      <c r="G134" s="57" t="str">
        <f t="shared" si="92"/>
        <v xml:space="preserve"> </v>
      </c>
      <c r="H134" s="57" t="str">
        <f t="shared" si="92"/>
        <v xml:space="preserve"> </v>
      </c>
      <c r="I134" s="57" t="str">
        <f t="shared" si="92"/>
        <v xml:space="preserve"> </v>
      </c>
      <c r="J134" s="57" t="str">
        <f t="shared" si="92"/>
        <v xml:space="preserve"> </v>
      </c>
      <c r="K134" s="57" t="str">
        <f t="shared" si="92"/>
        <v xml:space="preserve"> </v>
      </c>
      <c r="L134" s="57" t="str">
        <f t="shared" si="92"/>
        <v xml:space="preserve"> </v>
      </c>
      <c r="M134" s="57" t="str">
        <f t="shared" si="92"/>
        <v xml:space="preserve"> </v>
      </c>
      <c r="N134" s="57" t="str">
        <f t="shared" si="92"/>
        <v xml:space="preserve"> </v>
      </c>
      <c r="O134" s="57" t="str">
        <f t="shared" si="92"/>
        <v xml:space="preserve"> </v>
      </c>
      <c r="P134" s="57" t="str">
        <f t="shared" si="92"/>
        <v xml:space="preserve"> </v>
      </c>
      <c r="Q134" s="57" t="str">
        <f t="shared" si="92"/>
        <v xml:space="preserve"> </v>
      </c>
      <c r="R134" s="57" t="str">
        <f t="shared" si="92"/>
        <v xml:space="preserve"> </v>
      </c>
      <c r="S134" s="57" t="str">
        <f t="shared" si="92"/>
        <v xml:space="preserve"> </v>
      </c>
      <c r="T134" s="5"/>
      <c r="U134" s="5"/>
      <c r="V134" s="5"/>
      <c r="W134" s="5"/>
      <c r="X134" s="5"/>
      <c r="Y134" s="5"/>
      <c r="Z134" s="5"/>
    </row>
    <row r="135" spans="1:26" ht="12" hidden="1" customHeight="1" x14ac:dyDescent="0.25">
      <c r="A135" s="5"/>
      <c r="B135" s="5"/>
      <c r="C135" s="5"/>
      <c r="D135" s="5"/>
      <c r="E135" s="57" t="str">
        <f t="shared" ref="E135:S135" si="93">IF(LEFT(E34,1)="&lt;",VALUE(SUBSTITUTE(E34,"&lt;","")), IF(ISBLANK(E34)," ",E34))</f>
        <v xml:space="preserve"> </v>
      </c>
      <c r="F135" s="57" t="str">
        <f t="shared" si="93"/>
        <v xml:space="preserve"> </v>
      </c>
      <c r="G135" s="57" t="str">
        <f t="shared" si="93"/>
        <v xml:space="preserve"> </v>
      </c>
      <c r="H135" s="57" t="str">
        <f t="shared" si="93"/>
        <v xml:space="preserve"> </v>
      </c>
      <c r="I135" s="57" t="str">
        <f t="shared" si="93"/>
        <v xml:space="preserve"> </v>
      </c>
      <c r="J135" s="57" t="str">
        <f t="shared" si="93"/>
        <v xml:space="preserve"> </v>
      </c>
      <c r="K135" s="57" t="str">
        <f t="shared" si="93"/>
        <v xml:space="preserve"> </v>
      </c>
      <c r="L135" s="57" t="str">
        <f t="shared" si="93"/>
        <v xml:space="preserve"> </v>
      </c>
      <c r="M135" s="57" t="str">
        <f t="shared" si="93"/>
        <v xml:space="preserve"> </v>
      </c>
      <c r="N135" s="57" t="str">
        <f t="shared" si="93"/>
        <v xml:space="preserve"> </v>
      </c>
      <c r="O135" s="57" t="str">
        <f t="shared" si="93"/>
        <v xml:space="preserve"> </v>
      </c>
      <c r="P135" s="57" t="str">
        <f t="shared" si="93"/>
        <v xml:space="preserve"> </v>
      </c>
      <c r="Q135" s="57" t="str">
        <f t="shared" si="93"/>
        <v xml:space="preserve"> </v>
      </c>
      <c r="R135" s="57" t="str">
        <f t="shared" si="93"/>
        <v xml:space="preserve"> </v>
      </c>
      <c r="S135" s="57" t="str">
        <f t="shared" si="93"/>
        <v xml:space="preserve"> </v>
      </c>
      <c r="T135" s="5"/>
      <c r="U135" s="5"/>
      <c r="V135" s="5"/>
      <c r="W135" s="5"/>
      <c r="X135" s="5"/>
      <c r="Y135" s="5"/>
      <c r="Z135" s="5"/>
    </row>
    <row r="136" spans="1:26" ht="12" hidden="1" customHeight="1" x14ac:dyDescent="0.25">
      <c r="A136" s="5"/>
      <c r="B136" s="5"/>
      <c r="C136" s="5"/>
      <c r="D136" s="5"/>
      <c r="E136" s="57" t="str">
        <f t="shared" ref="E136:S136" si="94">IF(LEFT(E35,1)="&lt;",VALUE(SUBSTITUTE(E35,"&lt;","")), IF(ISBLANK(E35)," ",E35))</f>
        <v xml:space="preserve"> </v>
      </c>
      <c r="F136" s="57" t="str">
        <f t="shared" si="94"/>
        <v xml:space="preserve"> </v>
      </c>
      <c r="G136" s="57" t="str">
        <f t="shared" si="94"/>
        <v xml:space="preserve"> </v>
      </c>
      <c r="H136" s="57" t="str">
        <f t="shared" si="94"/>
        <v xml:space="preserve"> </v>
      </c>
      <c r="I136" s="57" t="str">
        <f t="shared" si="94"/>
        <v xml:space="preserve"> </v>
      </c>
      <c r="J136" s="57" t="str">
        <f t="shared" si="94"/>
        <v xml:space="preserve"> </v>
      </c>
      <c r="K136" s="57" t="str">
        <f t="shared" si="94"/>
        <v xml:space="preserve"> </v>
      </c>
      <c r="L136" s="57" t="str">
        <f t="shared" si="94"/>
        <v xml:space="preserve"> </v>
      </c>
      <c r="M136" s="57" t="str">
        <f t="shared" si="94"/>
        <v xml:space="preserve"> </v>
      </c>
      <c r="N136" s="57" t="str">
        <f t="shared" si="94"/>
        <v xml:space="preserve"> </v>
      </c>
      <c r="O136" s="57" t="str">
        <f t="shared" si="94"/>
        <v xml:space="preserve"> </v>
      </c>
      <c r="P136" s="57" t="str">
        <f t="shared" si="94"/>
        <v xml:space="preserve"> </v>
      </c>
      <c r="Q136" s="57" t="str">
        <f t="shared" si="94"/>
        <v xml:space="preserve"> </v>
      </c>
      <c r="R136" s="57" t="str">
        <f t="shared" si="94"/>
        <v xml:space="preserve"> </v>
      </c>
      <c r="S136" s="57" t="str">
        <f t="shared" si="94"/>
        <v xml:space="preserve"> </v>
      </c>
      <c r="T136" s="5"/>
      <c r="U136" s="5"/>
      <c r="V136" s="5"/>
      <c r="W136" s="5"/>
      <c r="X136" s="5"/>
      <c r="Y136" s="5"/>
      <c r="Z136" s="5"/>
    </row>
    <row r="137" spans="1:26" ht="12" hidden="1" customHeight="1" x14ac:dyDescent="0.25">
      <c r="A137" s="5"/>
      <c r="B137" s="5"/>
      <c r="C137" s="5"/>
      <c r="D137" s="5"/>
      <c r="E137" s="57" t="str">
        <f t="shared" ref="E137:S137" si="95">IF(LEFT(E36,1)="&lt;",VALUE(SUBSTITUTE(E36,"&lt;","")), IF(ISBLANK(E36)," ",E36))</f>
        <v xml:space="preserve"> </v>
      </c>
      <c r="F137" s="57" t="str">
        <f t="shared" si="95"/>
        <v xml:space="preserve"> </v>
      </c>
      <c r="G137" s="57" t="str">
        <f t="shared" si="95"/>
        <v xml:space="preserve"> </v>
      </c>
      <c r="H137" s="57" t="str">
        <f t="shared" si="95"/>
        <v xml:space="preserve"> </v>
      </c>
      <c r="I137" s="57" t="str">
        <f t="shared" si="95"/>
        <v xml:space="preserve"> </v>
      </c>
      <c r="J137" s="57" t="str">
        <f t="shared" si="95"/>
        <v xml:space="preserve"> </v>
      </c>
      <c r="K137" s="57" t="str">
        <f t="shared" si="95"/>
        <v xml:space="preserve"> </v>
      </c>
      <c r="L137" s="57" t="str">
        <f t="shared" si="95"/>
        <v xml:space="preserve"> </v>
      </c>
      <c r="M137" s="57" t="str">
        <f t="shared" si="95"/>
        <v xml:space="preserve"> </v>
      </c>
      <c r="N137" s="57" t="str">
        <f t="shared" si="95"/>
        <v xml:space="preserve"> </v>
      </c>
      <c r="O137" s="57" t="str">
        <f t="shared" si="95"/>
        <v xml:space="preserve"> </v>
      </c>
      <c r="P137" s="57" t="str">
        <f t="shared" si="95"/>
        <v xml:space="preserve"> </v>
      </c>
      <c r="Q137" s="57" t="str">
        <f t="shared" si="95"/>
        <v xml:space="preserve"> </v>
      </c>
      <c r="R137" s="57" t="str">
        <f t="shared" si="95"/>
        <v xml:space="preserve"> </v>
      </c>
      <c r="S137" s="57" t="str">
        <f t="shared" si="95"/>
        <v xml:space="preserve"> </v>
      </c>
      <c r="T137" s="5"/>
      <c r="U137" s="5"/>
      <c r="V137" s="5"/>
      <c r="W137" s="5"/>
      <c r="X137" s="5"/>
      <c r="Y137" s="5"/>
      <c r="Z137" s="5"/>
    </row>
    <row r="138" spans="1:26" ht="12"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8">
    <mergeCell ref="A42:C42"/>
    <mergeCell ref="A43:C43"/>
    <mergeCell ref="A3:C3"/>
    <mergeCell ref="A4:A5"/>
    <mergeCell ref="A37:C37"/>
    <mergeCell ref="A38:C38"/>
    <mergeCell ref="A39:C39"/>
    <mergeCell ref="A40:C40"/>
    <mergeCell ref="A41:C41"/>
    <mergeCell ref="D2:J2"/>
    <mergeCell ref="K2:S2"/>
    <mergeCell ref="A1:B1"/>
    <mergeCell ref="C1:D1"/>
    <mergeCell ref="E1:F1"/>
    <mergeCell ref="G1:K1"/>
    <mergeCell ref="M1:N1"/>
    <mergeCell ref="P1:Q1"/>
    <mergeCell ref="A2:B2"/>
  </mergeCells>
  <dataValidations count="8">
    <dataValidation type="list" allowBlank="1" showErrorMessage="1" sqref="C2">
      <formula1>PPI</formula1>
    </dataValidation>
    <dataValidation type="custom" allowBlank="1" showErrorMessage="1" sqref="B21 B29 B35">
      <formula1>AND(GTE(B21,MIN((0),(0.999305555555556))),LTE(B21,MAX((0),(0.999305555555556))))</formula1>
    </dataValidation>
    <dataValidation type="list" allowBlank="1" showErrorMessage="1" sqref="S1">
      <formula1>Year</formula1>
    </dataValidation>
    <dataValidation type="list" allowBlank="1" showErrorMessage="1" sqref="P1">
      <formula1>Month</formula1>
    </dataValidation>
    <dataValidation type="list" allowBlank="1" showErrorMessage="1" sqref="M1">
      <formula1>County</formula1>
    </dataValidation>
    <dataValidation type="list" allowBlank="1" showErrorMessage="1" sqref="E40:S40">
      <formula1>Sample</formula1>
    </dataValidation>
    <dataValidation type="list" allowBlank="1" showErrorMessage="1" sqref="E3:S3">
      <formula1>PCSCODE</formula1>
    </dataValidation>
    <dataValidation type="list" allowBlank="1" showErrorMessage="1" sqref="D40">
      <formula1>Flow</formula1>
    </dataValidation>
  </dataValidations>
  <printOptions horizontalCentered="1"/>
  <pageMargins left="0.28431321084864403" right="0.28431321084864403" top="0.5" bottom="0.2" header="0" footer="0"/>
  <pageSetup orientation="landscape"/>
  <headerFooter>
    <oddHeader>&amp;LFORM: NDMR 03-12&amp;CNON-DISCHARGE MONITORING REPORT (NDMR)&amp;RPage _____ of _____</oddHead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2.6640625" defaultRowHeight="15" customHeight="1" x14ac:dyDescent="0.25"/>
  <cols>
    <col min="1" max="1" width="3.109375" customWidth="1"/>
    <col min="2" max="3" width="8.44140625" customWidth="1"/>
    <col min="4" max="4" width="9.88671875" customWidth="1"/>
    <col min="5" max="19" width="9.21875" customWidth="1"/>
    <col min="20" max="20" width="4.44140625" customWidth="1"/>
    <col min="21" max="26" width="9.109375" customWidth="1"/>
  </cols>
  <sheetData>
    <row r="1" spans="1:26" ht="30" customHeight="1" x14ac:dyDescent="0.25">
      <c r="A1" s="127" t="s">
        <v>26</v>
      </c>
      <c r="B1" s="128"/>
      <c r="C1" s="128"/>
      <c r="D1" s="128"/>
      <c r="E1" s="128"/>
      <c r="F1" s="128"/>
      <c r="G1" s="128"/>
      <c r="H1" s="128"/>
      <c r="I1" s="128"/>
      <c r="J1" s="129"/>
      <c r="K1" s="130" t="s">
        <v>27</v>
      </c>
      <c r="L1" s="128"/>
      <c r="M1" s="128"/>
      <c r="N1" s="128"/>
      <c r="O1" s="128"/>
      <c r="P1" s="128"/>
      <c r="Q1" s="128"/>
      <c r="R1" s="128"/>
      <c r="S1" s="131"/>
      <c r="T1" s="58"/>
      <c r="U1" s="59"/>
      <c r="V1" s="59"/>
      <c r="W1" s="59"/>
      <c r="X1" s="59"/>
      <c r="Y1" s="59"/>
      <c r="Z1" s="59"/>
    </row>
    <row r="2" spans="1:26" ht="30" customHeight="1" x14ac:dyDescent="0.25">
      <c r="A2" s="132" t="s">
        <v>28</v>
      </c>
      <c r="B2" s="103"/>
      <c r="C2" s="104"/>
      <c r="D2" s="100"/>
      <c r="E2" s="100"/>
      <c r="F2" s="100"/>
      <c r="G2" s="100"/>
      <c r="H2" s="100"/>
      <c r="I2" s="100"/>
      <c r="J2" s="101"/>
      <c r="K2" s="60" t="s">
        <v>28</v>
      </c>
      <c r="L2" s="104"/>
      <c r="M2" s="100"/>
      <c r="N2" s="100"/>
      <c r="O2" s="100"/>
      <c r="P2" s="100"/>
      <c r="Q2" s="100"/>
      <c r="R2" s="100"/>
      <c r="S2" s="133"/>
      <c r="T2" s="4"/>
      <c r="U2" s="5"/>
      <c r="V2" s="5"/>
      <c r="W2" s="5"/>
      <c r="X2" s="5"/>
      <c r="Y2" s="5"/>
      <c r="Z2" s="5"/>
    </row>
    <row r="3" spans="1:26" ht="30" customHeight="1" x14ac:dyDescent="0.25">
      <c r="A3" s="134" t="s">
        <v>28</v>
      </c>
      <c r="B3" s="135"/>
      <c r="C3" s="136"/>
      <c r="D3" s="122"/>
      <c r="E3" s="122"/>
      <c r="F3" s="122"/>
      <c r="G3" s="122"/>
      <c r="H3" s="122"/>
      <c r="I3" s="122"/>
      <c r="J3" s="123"/>
      <c r="K3" s="61" t="s">
        <v>28</v>
      </c>
      <c r="L3" s="136"/>
      <c r="M3" s="122"/>
      <c r="N3" s="122"/>
      <c r="O3" s="122"/>
      <c r="P3" s="122"/>
      <c r="Q3" s="122"/>
      <c r="R3" s="122"/>
      <c r="S3" s="125"/>
      <c r="T3" s="4"/>
      <c r="U3" s="5"/>
      <c r="V3" s="5"/>
      <c r="W3" s="5"/>
      <c r="X3" s="5"/>
      <c r="Y3" s="5"/>
      <c r="Z3" s="5"/>
    </row>
    <row r="4" spans="1:26" ht="30" customHeight="1" x14ac:dyDescent="0.25">
      <c r="A4" s="137" t="s">
        <v>29</v>
      </c>
      <c r="B4" s="128"/>
      <c r="C4" s="128"/>
      <c r="D4" s="128"/>
      <c r="E4" s="128"/>
      <c r="F4" s="128"/>
      <c r="G4" s="128"/>
      <c r="H4" s="128"/>
      <c r="I4" s="128"/>
      <c r="J4" s="128"/>
      <c r="K4" s="128"/>
      <c r="L4" s="128"/>
      <c r="M4" s="128"/>
      <c r="N4" s="128"/>
      <c r="O4" s="128"/>
      <c r="P4" s="128"/>
      <c r="Q4" s="128"/>
      <c r="R4" s="128"/>
      <c r="S4" s="138"/>
      <c r="T4" s="5"/>
      <c r="U4" s="5"/>
      <c r="V4" s="5"/>
      <c r="W4" s="5"/>
      <c r="X4" s="5"/>
      <c r="Y4" s="5"/>
      <c r="Z4" s="5"/>
    </row>
    <row r="5" spans="1:26" ht="30" customHeight="1" x14ac:dyDescent="0.25">
      <c r="A5" s="139" t="s">
        <v>30</v>
      </c>
      <c r="B5" s="100"/>
      <c r="C5" s="100"/>
      <c r="D5" s="100"/>
      <c r="E5" s="100"/>
      <c r="F5" s="100"/>
      <c r="G5" s="100"/>
      <c r="H5" s="100"/>
      <c r="I5" s="100"/>
      <c r="J5" s="100"/>
      <c r="K5" s="100"/>
      <c r="L5" s="100"/>
      <c r="M5" s="100"/>
      <c r="N5" s="100"/>
      <c r="O5" s="100"/>
      <c r="P5" s="100"/>
      <c r="Q5" s="100"/>
      <c r="R5" s="100"/>
      <c r="S5" s="103"/>
      <c r="T5" s="5"/>
      <c r="U5" s="5"/>
      <c r="V5" s="5"/>
      <c r="W5" s="5"/>
      <c r="X5" s="5"/>
      <c r="Y5" s="5"/>
      <c r="Z5" s="5"/>
    </row>
    <row r="6" spans="1:26" ht="168.75" customHeight="1" x14ac:dyDescent="0.25">
      <c r="A6" s="140"/>
      <c r="B6" s="80"/>
      <c r="C6" s="80"/>
      <c r="D6" s="80"/>
      <c r="E6" s="80"/>
      <c r="F6" s="80"/>
      <c r="G6" s="80"/>
      <c r="H6" s="80"/>
      <c r="I6" s="80"/>
      <c r="J6" s="80"/>
      <c r="K6" s="80"/>
      <c r="L6" s="80"/>
      <c r="M6" s="80"/>
      <c r="N6" s="80"/>
      <c r="O6" s="80"/>
      <c r="P6" s="80"/>
      <c r="Q6" s="80"/>
      <c r="R6" s="80"/>
      <c r="S6" s="78"/>
      <c r="T6" s="5"/>
      <c r="U6" s="5"/>
      <c r="V6" s="5"/>
      <c r="W6" s="5"/>
      <c r="X6" s="5"/>
      <c r="Y6" s="5"/>
      <c r="Z6" s="5"/>
    </row>
    <row r="7" spans="1:26" ht="15" customHeight="1" x14ac:dyDescent="0.25">
      <c r="A7" s="141"/>
      <c r="B7" s="80"/>
      <c r="C7" s="80"/>
      <c r="D7" s="80"/>
      <c r="E7" s="80"/>
      <c r="F7" s="80"/>
      <c r="G7" s="80"/>
      <c r="H7" s="80"/>
      <c r="I7" s="80"/>
      <c r="J7" s="80"/>
      <c r="K7" s="80"/>
      <c r="L7" s="80"/>
      <c r="M7" s="80"/>
      <c r="N7" s="80"/>
      <c r="O7" s="80"/>
      <c r="P7" s="80"/>
      <c r="Q7" s="80"/>
      <c r="R7" s="80"/>
      <c r="S7" s="76"/>
      <c r="T7" s="5"/>
      <c r="U7" s="5"/>
      <c r="V7" s="5"/>
      <c r="W7" s="5"/>
      <c r="X7" s="5"/>
      <c r="Y7" s="5"/>
      <c r="Z7" s="5"/>
    </row>
    <row r="8" spans="1:26" ht="30.75" customHeight="1" x14ac:dyDescent="0.25">
      <c r="A8" s="79" t="s">
        <v>31</v>
      </c>
      <c r="B8" s="80"/>
      <c r="C8" s="80"/>
      <c r="D8" s="80"/>
      <c r="E8" s="80"/>
      <c r="F8" s="80"/>
      <c r="G8" s="80"/>
      <c r="H8" s="80"/>
      <c r="I8" s="80"/>
      <c r="J8" s="76"/>
      <c r="K8" s="142" t="s">
        <v>32</v>
      </c>
      <c r="L8" s="80"/>
      <c r="M8" s="80"/>
      <c r="N8" s="80"/>
      <c r="O8" s="80"/>
      <c r="P8" s="80"/>
      <c r="Q8" s="80"/>
      <c r="R8" s="80"/>
      <c r="S8" s="78"/>
      <c r="T8" s="5"/>
      <c r="U8" s="5"/>
      <c r="V8" s="5"/>
      <c r="W8" s="5"/>
      <c r="X8" s="5"/>
      <c r="Y8" s="5"/>
      <c r="Z8" s="5"/>
    </row>
    <row r="9" spans="1:26" ht="30.75" customHeight="1" x14ac:dyDescent="0.25">
      <c r="A9" s="143" t="s">
        <v>33</v>
      </c>
      <c r="B9" s="138"/>
      <c r="C9" s="144"/>
      <c r="D9" s="128"/>
      <c r="E9" s="128"/>
      <c r="F9" s="128"/>
      <c r="G9" s="128"/>
      <c r="H9" s="128"/>
      <c r="I9" s="128"/>
      <c r="J9" s="129"/>
      <c r="K9" s="145" t="s">
        <v>34</v>
      </c>
      <c r="L9" s="138"/>
      <c r="M9" s="144"/>
      <c r="N9" s="128"/>
      <c r="O9" s="128"/>
      <c r="P9" s="128"/>
      <c r="Q9" s="128"/>
      <c r="R9" s="128"/>
      <c r="S9" s="131"/>
      <c r="T9" s="5"/>
      <c r="U9" s="5"/>
      <c r="V9" s="5"/>
      <c r="W9" s="5"/>
      <c r="X9" s="5"/>
      <c r="Y9" s="5"/>
      <c r="Z9" s="5"/>
    </row>
    <row r="10" spans="1:26" ht="30.75" customHeight="1" x14ac:dyDescent="0.25">
      <c r="A10" s="99" t="s">
        <v>35</v>
      </c>
      <c r="B10" s="100"/>
      <c r="C10" s="103"/>
      <c r="D10" s="104"/>
      <c r="E10" s="100"/>
      <c r="F10" s="100"/>
      <c r="G10" s="100"/>
      <c r="H10" s="100"/>
      <c r="I10" s="100"/>
      <c r="J10" s="101"/>
      <c r="K10" s="102" t="s">
        <v>36</v>
      </c>
      <c r="L10" s="103"/>
      <c r="M10" s="104"/>
      <c r="N10" s="100"/>
      <c r="O10" s="100"/>
      <c r="P10" s="100"/>
      <c r="Q10" s="100"/>
      <c r="R10" s="100"/>
      <c r="S10" s="133"/>
      <c r="T10" s="5"/>
      <c r="U10" s="5"/>
      <c r="V10" s="5"/>
      <c r="W10" s="5"/>
      <c r="X10" s="5"/>
      <c r="Y10" s="5"/>
      <c r="Z10" s="5"/>
    </row>
    <row r="11" spans="1:26" ht="30.75" customHeight="1" x14ac:dyDescent="0.25">
      <c r="A11" s="99" t="s">
        <v>37</v>
      </c>
      <c r="B11" s="103"/>
      <c r="C11" s="104"/>
      <c r="D11" s="103"/>
      <c r="E11" s="105" t="s">
        <v>38</v>
      </c>
      <c r="F11" s="103"/>
      <c r="G11" s="104"/>
      <c r="H11" s="100"/>
      <c r="I11" s="100"/>
      <c r="J11" s="101"/>
      <c r="K11" s="102" t="s">
        <v>39</v>
      </c>
      <c r="L11" s="100"/>
      <c r="M11" s="103"/>
      <c r="N11" s="104"/>
      <c r="O11" s="100"/>
      <c r="P11" s="100"/>
      <c r="Q11" s="100"/>
      <c r="R11" s="100"/>
      <c r="S11" s="133"/>
      <c r="T11" s="5"/>
      <c r="U11" s="5"/>
      <c r="V11" s="5"/>
      <c r="W11" s="5"/>
      <c r="X11" s="5"/>
      <c r="Y11" s="5"/>
      <c r="Z11" s="5"/>
    </row>
    <row r="12" spans="1:26" ht="30.75" customHeight="1" x14ac:dyDescent="0.25">
      <c r="A12" s="99" t="s">
        <v>40</v>
      </c>
      <c r="B12" s="100"/>
      <c r="C12" s="100"/>
      <c r="D12" s="100"/>
      <c r="E12" s="100"/>
      <c r="F12" s="100"/>
      <c r="G12" s="100"/>
      <c r="H12" s="100"/>
      <c r="I12" s="100"/>
      <c r="J12" s="101"/>
      <c r="K12" s="102" t="s">
        <v>41</v>
      </c>
      <c r="L12" s="103"/>
      <c r="M12" s="104"/>
      <c r="N12" s="100"/>
      <c r="O12" s="103"/>
      <c r="P12" s="105" t="s">
        <v>42</v>
      </c>
      <c r="Q12" s="103"/>
      <c r="R12" s="150"/>
      <c r="S12" s="133"/>
      <c r="T12" s="5"/>
      <c r="U12" s="5"/>
      <c r="V12" s="5"/>
      <c r="W12" s="5"/>
      <c r="X12" s="5"/>
      <c r="Y12" s="5"/>
      <c r="Z12" s="5"/>
    </row>
    <row r="13" spans="1:26" ht="22.5" customHeight="1" x14ac:dyDescent="0.25">
      <c r="A13" s="106"/>
      <c r="B13" s="107"/>
      <c r="C13" s="107"/>
      <c r="D13" s="107"/>
      <c r="E13" s="107"/>
      <c r="F13" s="107"/>
      <c r="G13" s="108"/>
      <c r="H13" s="112"/>
      <c r="I13" s="146"/>
      <c r="J13" s="147"/>
      <c r="K13" s="146"/>
      <c r="L13" s="107"/>
      <c r="M13" s="107"/>
      <c r="N13" s="107"/>
      <c r="O13" s="107"/>
      <c r="P13" s="108"/>
      <c r="Q13" s="112"/>
      <c r="R13" s="146"/>
      <c r="S13" s="151"/>
      <c r="T13" s="5"/>
      <c r="U13" s="5"/>
      <c r="V13" s="5"/>
      <c r="W13" s="5"/>
      <c r="X13" s="5"/>
      <c r="Y13" s="5"/>
      <c r="Z13" s="5"/>
    </row>
    <row r="14" spans="1:26" ht="22.5" customHeight="1" x14ac:dyDescent="0.25">
      <c r="A14" s="109"/>
      <c r="B14" s="110"/>
      <c r="C14" s="110"/>
      <c r="D14" s="110"/>
      <c r="E14" s="110"/>
      <c r="F14" s="110"/>
      <c r="G14" s="111"/>
      <c r="H14" s="113"/>
      <c r="I14" s="148"/>
      <c r="J14" s="149"/>
      <c r="K14" s="148"/>
      <c r="L14" s="110"/>
      <c r="M14" s="110"/>
      <c r="N14" s="110"/>
      <c r="O14" s="110"/>
      <c r="P14" s="111"/>
      <c r="Q14" s="113"/>
      <c r="R14" s="148"/>
      <c r="S14" s="152"/>
      <c r="T14" s="5"/>
      <c r="U14" s="5"/>
      <c r="V14" s="5"/>
      <c r="W14" s="5"/>
      <c r="X14" s="5"/>
      <c r="Y14" s="5"/>
      <c r="Z14" s="5"/>
    </row>
    <row r="15" spans="1:26" ht="30" customHeight="1" x14ac:dyDescent="0.25">
      <c r="A15" s="116" t="s">
        <v>43</v>
      </c>
      <c r="B15" s="117"/>
      <c r="C15" s="117"/>
      <c r="D15" s="117"/>
      <c r="E15" s="117"/>
      <c r="F15" s="117"/>
      <c r="G15" s="118"/>
      <c r="H15" s="114"/>
      <c r="I15" s="119" t="s">
        <v>44</v>
      </c>
      <c r="J15" s="120"/>
      <c r="K15" s="115" t="s">
        <v>43</v>
      </c>
      <c r="L15" s="100"/>
      <c r="M15" s="100"/>
      <c r="N15" s="100"/>
      <c r="O15" s="100"/>
      <c r="P15" s="103"/>
      <c r="Q15" s="114"/>
      <c r="R15" s="115" t="s">
        <v>44</v>
      </c>
      <c r="S15" s="133"/>
      <c r="T15" s="5"/>
      <c r="U15" s="5"/>
      <c r="V15" s="5"/>
      <c r="W15" s="5"/>
      <c r="X15" s="5"/>
      <c r="Y15" s="5"/>
      <c r="Z15" s="5"/>
    </row>
    <row r="16" spans="1:26" ht="68.25" customHeight="1" x14ac:dyDescent="0.25">
      <c r="A16" s="121" t="s">
        <v>45</v>
      </c>
      <c r="B16" s="122"/>
      <c r="C16" s="122"/>
      <c r="D16" s="122"/>
      <c r="E16" s="122"/>
      <c r="F16" s="122"/>
      <c r="G16" s="122"/>
      <c r="H16" s="122"/>
      <c r="I16" s="122"/>
      <c r="J16" s="123"/>
      <c r="K16" s="124" t="s">
        <v>46</v>
      </c>
      <c r="L16" s="122"/>
      <c r="M16" s="122"/>
      <c r="N16" s="122"/>
      <c r="O16" s="122"/>
      <c r="P16" s="122"/>
      <c r="Q16" s="122"/>
      <c r="R16" s="122"/>
      <c r="S16" s="125"/>
      <c r="T16" s="5"/>
      <c r="U16" s="5"/>
      <c r="V16" s="5"/>
      <c r="W16" s="5"/>
      <c r="X16" s="5"/>
      <c r="Y16" s="5"/>
      <c r="Z16" s="5"/>
    </row>
    <row r="17" spans="1:26" ht="15" customHeight="1" x14ac:dyDescent="0.25">
      <c r="A17" s="126"/>
      <c r="B17" s="100"/>
      <c r="C17" s="100"/>
      <c r="D17" s="100"/>
      <c r="E17" s="100"/>
      <c r="F17" s="100"/>
      <c r="G17" s="100"/>
      <c r="H17" s="100"/>
      <c r="I17" s="100"/>
      <c r="J17" s="100"/>
      <c r="K17" s="100"/>
      <c r="L17" s="100"/>
      <c r="M17" s="100"/>
      <c r="N17" s="100"/>
      <c r="O17" s="100"/>
      <c r="P17" s="100"/>
      <c r="Q17" s="100"/>
      <c r="R17" s="100"/>
      <c r="S17" s="103"/>
      <c r="T17" s="5"/>
      <c r="U17" s="5"/>
      <c r="V17" s="5"/>
      <c r="W17" s="5"/>
      <c r="X17" s="5"/>
      <c r="Y17" s="5"/>
      <c r="Z17" s="5"/>
    </row>
    <row r="18" spans="1:26" ht="15" customHeight="1" x14ac:dyDescent="0.25">
      <c r="A18" s="126" t="s">
        <v>47</v>
      </c>
      <c r="B18" s="100"/>
      <c r="C18" s="100"/>
      <c r="D18" s="100"/>
      <c r="E18" s="100"/>
      <c r="F18" s="100"/>
      <c r="G18" s="100"/>
      <c r="H18" s="100"/>
      <c r="I18" s="100"/>
      <c r="J18" s="100"/>
      <c r="K18" s="100"/>
      <c r="L18" s="100"/>
      <c r="M18" s="100"/>
      <c r="N18" s="100"/>
      <c r="O18" s="100"/>
      <c r="P18" s="100"/>
      <c r="Q18" s="100"/>
      <c r="R18" s="100"/>
      <c r="S18" s="103"/>
      <c r="T18" s="5"/>
      <c r="U18" s="5"/>
      <c r="V18" s="5"/>
      <c r="W18" s="5"/>
      <c r="X18" s="5"/>
      <c r="Y18" s="5"/>
      <c r="Z18" s="5"/>
    </row>
    <row r="19" spans="1:26" ht="15" customHeight="1" x14ac:dyDescent="0.25">
      <c r="A19" s="126" t="s">
        <v>48</v>
      </c>
      <c r="B19" s="100"/>
      <c r="C19" s="100"/>
      <c r="D19" s="100"/>
      <c r="E19" s="100"/>
      <c r="F19" s="100"/>
      <c r="G19" s="100"/>
      <c r="H19" s="100"/>
      <c r="I19" s="100"/>
      <c r="J19" s="100"/>
      <c r="K19" s="100"/>
      <c r="L19" s="100"/>
      <c r="M19" s="100"/>
      <c r="N19" s="100"/>
      <c r="O19" s="100"/>
      <c r="P19" s="100"/>
      <c r="Q19" s="100"/>
      <c r="R19" s="100"/>
      <c r="S19" s="103"/>
      <c r="T19" s="5"/>
      <c r="U19" s="5"/>
      <c r="V19" s="5"/>
      <c r="W19" s="5"/>
      <c r="X19" s="5"/>
      <c r="Y19" s="5"/>
      <c r="Z19" s="5"/>
    </row>
    <row r="20" spans="1:26" ht="15" customHeight="1" x14ac:dyDescent="0.25">
      <c r="A20" s="126" t="s">
        <v>49</v>
      </c>
      <c r="B20" s="100"/>
      <c r="C20" s="100"/>
      <c r="D20" s="100"/>
      <c r="E20" s="100"/>
      <c r="F20" s="100"/>
      <c r="G20" s="100"/>
      <c r="H20" s="100"/>
      <c r="I20" s="100"/>
      <c r="J20" s="100"/>
      <c r="K20" s="100"/>
      <c r="L20" s="100"/>
      <c r="M20" s="100"/>
      <c r="N20" s="100"/>
      <c r="O20" s="100"/>
      <c r="P20" s="100"/>
      <c r="Q20" s="100"/>
      <c r="R20" s="100"/>
      <c r="S20" s="103"/>
      <c r="T20" s="5"/>
      <c r="U20" s="5"/>
      <c r="V20" s="5"/>
      <c r="W20" s="5"/>
      <c r="X20" s="5"/>
      <c r="Y20" s="5"/>
      <c r="Z20" s="5"/>
    </row>
    <row r="21" spans="1:26" ht="15" customHeight="1" x14ac:dyDescent="0.25">
      <c r="A21" s="126" t="s">
        <v>50</v>
      </c>
      <c r="B21" s="100"/>
      <c r="C21" s="100"/>
      <c r="D21" s="100"/>
      <c r="E21" s="100"/>
      <c r="F21" s="100"/>
      <c r="G21" s="100"/>
      <c r="H21" s="100"/>
      <c r="I21" s="100"/>
      <c r="J21" s="100"/>
      <c r="K21" s="100"/>
      <c r="L21" s="100"/>
      <c r="M21" s="100"/>
      <c r="N21" s="100"/>
      <c r="O21" s="100"/>
      <c r="P21" s="100"/>
      <c r="Q21" s="100"/>
      <c r="R21" s="100"/>
      <c r="S21" s="103"/>
      <c r="T21" s="5"/>
      <c r="U21" s="5"/>
      <c r="V21" s="5"/>
      <c r="W21" s="5"/>
      <c r="X21" s="5"/>
      <c r="Y21" s="5"/>
      <c r="Z21" s="5"/>
    </row>
    <row r="22" spans="1:26" ht="15" customHeight="1" x14ac:dyDescent="0.25">
      <c r="A22" s="126" t="s">
        <v>51</v>
      </c>
      <c r="B22" s="100"/>
      <c r="C22" s="100"/>
      <c r="D22" s="100"/>
      <c r="E22" s="100"/>
      <c r="F22" s="100"/>
      <c r="G22" s="100"/>
      <c r="H22" s="100"/>
      <c r="I22" s="100"/>
      <c r="J22" s="100"/>
      <c r="K22" s="100"/>
      <c r="L22" s="100"/>
      <c r="M22" s="100"/>
      <c r="N22" s="100"/>
      <c r="O22" s="100"/>
      <c r="P22" s="100"/>
      <c r="Q22" s="100"/>
      <c r="R22" s="100"/>
      <c r="S22" s="103"/>
      <c r="T22" s="5"/>
      <c r="U22" s="5"/>
      <c r="V22" s="5"/>
      <c r="W22" s="5"/>
      <c r="X22" s="5"/>
      <c r="Y22" s="5"/>
      <c r="Z22" s="5"/>
    </row>
    <row r="23" spans="1:26" ht="12"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2"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1">
    <mergeCell ref="A22:S22"/>
    <mergeCell ref="R12:S12"/>
    <mergeCell ref="R13:S14"/>
    <mergeCell ref="R15:S15"/>
    <mergeCell ref="A20:S20"/>
    <mergeCell ref="A21:S21"/>
    <mergeCell ref="D10:J10"/>
    <mergeCell ref="K10:L10"/>
    <mergeCell ref="M10:S10"/>
    <mergeCell ref="A10:C10"/>
    <mergeCell ref="A11:B11"/>
    <mergeCell ref="C11:D11"/>
    <mergeCell ref="E11:F11"/>
    <mergeCell ref="G11:J11"/>
    <mergeCell ref="K11:M11"/>
    <mergeCell ref="N11:S11"/>
    <mergeCell ref="A6:S6"/>
    <mergeCell ref="A7:S7"/>
    <mergeCell ref="A8:J8"/>
    <mergeCell ref="K8:S8"/>
    <mergeCell ref="A9:B9"/>
    <mergeCell ref="C9:J9"/>
    <mergeCell ref="K9:L9"/>
    <mergeCell ref="M9:S9"/>
    <mergeCell ref="A3:B3"/>
    <mergeCell ref="C3:J3"/>
    <mergeCell ref="L3:S3"/>
    <mergeCell ref="A4:S4"/>
    <mergeCell ref="A5:S5"/>
    <mergeCell ref="A1:J1"/>
    <mergeCell ref="K1:S1"/>
    <mergeCell ref="A2:B2"/>
    <mergeCell ref="C2:J2"/>
    <mergeCell ref="L2:S2"/>
    <mergeCell ref="A16:J16"/>
    <mergeCell ref="K16:S16"/>
    <mergeCell ref="A17:S17"/>
    <mergeCell ref="A18:S18"/>
    <mergeCell ref="A19:S19"/>
    <mergeCell ref="A12:J12"/>
    <mergeCell ref="K12:L12"/>
    <mergeCell ref="M12:O12"/>
    <mergeCell ref="P12:Q12"/>
    <mergeCell ref="A13:G14"/>
    <mergeCell ref="H13:H15"/>
    <mergeCell ref="Q13:Q15"/>
    <mergeCell ref="K15:P15"/>
    <mergeCell ref="A15:G15"/>
    <mergeCell ref="I15:J15"/>
    <mergeCell ref="I13:J14"/>
    <mergeCell ref="K13:P14"/>
  </mergeCells>
  <printOptions horizontalCentered="1"/>
  <pageMargins left="0.28431321084864403" right="0.28431321084864403" top="0.5" bottom="0.2" header="0" footer="0"/>
  <pageSetup orientation="landscape"/>
  <headerFooter>
    <oddHeader>&amp;LFORM: NDMR 03-12&amp;CNON-DISCHARGE MONITORING REPORT (NDMR)&amp;RPage _____ of _____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8.109375" customWidth="1"/>
    <col min="2" max="2" width="22.44140625" customWidth="1"/>
    <col min="3" max="3" width="35.77734375" customWidth="1"/>
    <col min="4" max="4" width="17.21875" customWidth="1"/>
    <col min="5" max="26" width="22.21875" customWidth="1"/>
  </cols>
  <sheetData>
    <row r="1" spans="1:26" ht="12" customHeight="1" x14ac:dyDescent="0.25">
      <c r="A1" s="62"/>
      <c r="B1" s="63" t="s">
        <v>52</v>
      </c>
      <c r="C1" s="63" t="s">
        <v>53</v>
      </c>
      <c r="D1" s="62" t="s">
        <v>54</v>
      </c>
      <c r="E1" s="64"/>
      <c r="F1" s="64"/>
      <c r="G1" s="64"/>
      <c r="H1" s="64"/>
      <c r="I1" s="64"/>
      <c r="J1" s="64"/>
      <c r="K1" s="64"/>
      <c r="L1" s="64"/>
      <c r="M1" s="64"/>
      <c r="N1" s="64"/>
      <c r="O1" s="64"/>
      <c r="P1" s="64"/>
      <c r="Q1" s="64"/>
      <c r="R1" s="64"/>
      <c r="S1" s="64"/>
      <c r="T1" s="64"/>
      <c r="U1" s="64"/>
      <c r="V1" s="64"/>
      <c r="W1" s="64"/>
      <c r="X1" s="64"/>
      <c r="Y1" s="64"/>
      <c r="Z1" s="64"/>
    </row>
    <row r="2" spans="1:26" ht="12" customHeight="1" x14ac:dyDescent="0.25">
      <c r="A2" s="65" t="s">
        <v>55</v>
      </c>
      <c r="B2" s="66" t="s">
        <v>56</v>
      </c>
      <c r="C2" s="67" t="s">
        <v>57</v>
      </c>
      <c r="D2" s="68" t="s">
        <v>58</v>
      </c>
      <c r="E2" s="64"/>
      <c r="F2" s="64"/>
      <c r="G2" s="64"/>
      <c r="H2" s="64"/>
      <c r="I2" s="64"/>
      <c r="J2" s="64"/>
      <c r="K2" s="64"/>
      <c r="L2" s="64"/>
      <c r="M2" s="64"/>
      <c r="N2" s="64"/>
      <c r="O2" s="64"/>
      <c r="P2" s="64"/>
      <c r="Q2" s="64"/>
      <c r="R2" s="64"/>
      <c r="S2" s="64"/>
      <c r="T2" s="64"/>
      <c r="U2" s="64"/>
      <c r="V2" s="64"/>
      <c r="W2" s="64"/>
      <c r="X2" s="64"/>
      <c r="Y2" s="64"/>
      <c r="Z2" s="64"/>
    </row>
    <row r="3" spans="1:26" ht="12" customHeight="1" x14ac:dyDescent="0.25">
      <c r="A3" s="65" t="s">
        <v>59</v>
      </c>
      <c r="B3" s="68" t="s">
        <v>60</v>
      </c>
      <c r="C3" s="67" t="s">
        <v>61</v>
      </c>
      <c r="D3" s="68" t="s">
        <v>62</v>
      </c>
      <c r="E3" s="64"/>
      <c r="F3" s="64"/>
      <c r="G3" s="64"/>
      <c r="H3" s="64"/>
      <c r="I3" s="64"/>
      <c r="J3" s="64"/>
      <c r="K3" s="64"/>
      <c r="L3" s="64"/>
      <c r="M3" s="64"/>
      <c r="N3" s="64"/>
      <c r="O3" s="64"/>
      <c r="P3" s="64"/>
      <c r="Q3" s="64"/>
      <c r="R3" s="64"/>
      <c r="S3" s="64"/>
      <c r="T3" s="64"/>
      <c r="U3" s="64"/>
      <c r="V3" s="64"/>
      <c r="W3" s="64"/>
      <c r="X3" s="64"/>
      <c r="Y3" s="64"/>
      <c r="Z3" s="64"/>
    </row>
    <row r="4" spans="1:26" ht="12" customHeight="1" x14ac:dyDescent="0.25">
      <c r="A4" s="65" t="s">
        <v>63</v>
      </c>
      <c r="B4" s="68" t="s">
        <v>64</v>
      </c>
      <c r="C4" s="67" t="s">
        <v>65</v>
      </c>
      <c r="D4" s="68" t="s">
        <v>15</v>
      </c>
      <c r="E4" s="64"/>
      <c r="F4" s="64"/>
      <c r="G4" s="64"/>
      <c r="H4" s="64"/>
      <c r="I4" s="64"/>
      <c r="J4" s="64"/>
      <c r="K4" s="64"/>
      <c r="L4" s="64"/>
      <c r="M4" s="64"/>
      <c r="N4" s="64"/>
      <c r="O4" s="64"/>
      <c r="P4" s="64"/>
      <c r="Q4" s="64"/>
      <c r="R4" s="64"/>
      <c r="S4" s="64"/>
      <c r="T4" s="64"/>
      <c r="U4" s="64"/>
      <c r="V4" s="64"/>
      <c r="W4" s="64"/>
      <c r="X4" s="64"/>
      <c r="Y4" s="64"/>
      <c r="Z4" s="64"/>
    </row>
    <row r="5" spans="1:26" ht="12" customHeight="1" x14ac:dyDescent="0.25">
      <c r="A5" s="65" t="s">
        <v>66</v>
      </c>
      <c r="B5" s="66" t="s">
        <v>67</v>
      </c>
      <c r="C5" s="67" t="s">
        <v>67</v>
      </c>
      <c r="D5" s="68" t="s">
        <v>68</v>
      </c>
      <c r="E5" s="64"/>
      <c r="F5" s="64"/>
      <c r="G5" s="64"/>
      <c r="H5" s="64"/>
      <c r="I5" s="64"/>
      <c r="J5" s="64"/>
      <c r="K5" s="64"/>
      <c r="L5" s="64"/>
      <c r="M5" s="64"/>
      <c r="N5" s="64"/>
      <c r="O5" s="64"/>
      <c r="P5" s="64"/>
      <c r="Q5" s="64"/>
      <c r="R5" s="64"/>
      <c r="S5" s="64"/>
      <c r="T5" s="64"/>
      <c r="U5" s="64"/>
      <c r="V5" s="64"/>
      <c r="W5" s="64"/>
      <c r="X5" s="64"/>
      <c r="Y5" s="64"/>
      <c r="Z5" s="64"/>
    </row>
    <row r="6" spans="1:26" ht="12" customHeight="1" x14ac:dyDescent="0.25">
      <c r="A6" s="65" t="s">
        <v>69</v>
      </c>
      <c r="B6" s="68" t="s">
        <v>70</v>
      </c>
      <c r="C6" s="67" t="s">
        <v>71</v>
      </c>
      <c r="D6" s="68" t="s">
        <v>72</v>
      </c>
      <c r="E6" s="64"/>
      <c r="F6" s="64"/>
      <c r="G6" s="64"/>
      <c r="H6" s="64"/>
      <c r="I6" s="64"/>
      <c r="J6" s="64"/>
      <c r="K6" s="64"/>
      <c r="L6" s="64"/>
      <c r="M6" s="64"/>
      <c r="N6" s="64"/>
      <c r="O6" s="64"/>
      <c r="P6" s="64"/>
      <c r="Q6" s="64"/>
      <c r="R6" s="64"/>
      <c r="S6" s="64"/>
      <c r="T6" s="64"/>
      <c r="U6" s="64"/>
      <c r="V6" s="64"/>
      <c r="W6" s="64"/>
      <c r="X6" s="64"/>
      <c r="Y6" s="64"/>
      <c r="Z6" s="64"/>
    </row>
    <row r="7" spans="1:26" ht="12" customHeight="1" x14ac:dyDescent="0.25">
      <c r="A7" s="65" t="s">
        <v>73</v>
      </c>
      <c r="B7" s="66" t="s">
        <v>74</v>
      </c>
      <c r="C7" s="67" t="s">
        <v>75</v>
      </c>
      <c r="D7" s="68" t="s">
        <v>76</v>
      </c>
      <c r="E7" s="64"/>
      <c r="F7" s="64"/>
      <c r="G7" s="64"/>
      <c r="H7" s="64"/>
      <c r="I7" s="64"/>
      <c r="J7" s="64"/>
      <c r="K7" s="64"/>
      <c r="L7" s="64"/>
      <c r="M7" s="64"/>
      <c r="N7" s="64"/>
      <c r="O7" s="64"/>
      <c r="P7" s="64"/>
      <c r="Q7" s="64"/>
      <c r="R7" s="64"/>
      <c r="S7" s="64"/>
      <c r="T7" s="64"/>
      <c r="U7" s="64"/>
      <c r="V7" s="64"/>
      <c r="W7" s="64"/>
      <c r="X7" s="64"/>
      <c r="Y7" s="64"/>
      <c r="Z7" s="64"/>
    </row>
    <row r="8" spans="1:26" ht="13.5" customHeight="1" x14ac:dyDescent="0.25">
      <c r="A8" s="65" t="s">
        <v>77</v>
      </c>
      <c r="B8" s="66" t="s">
        <v>78</v>
      </c>
      <c r="C8" s="67" t="s">
        <v>79</v>
      </c>
      <c r="D8" s="68" t="s">
        <v>76</v>
      </c>
      <c r="E8" s="64"/>
      <c r="F8" s="64"/>
      <c r="G8" s="64"/>
      <c r="H8" s="64"/>
      <c r="I8" s="64"/>
      <c r="J8" s="64"/>
      <c r="K8" s="64"/>
      <c r="L8" s="64"/>
      <c r="M8" s="64"/>
      <c r="N8" s="64"/>
      <c r="O8" s="64"/>
      <c r="P8" s="64"/>
      <c r="Q8" s="64"/>
      <c r="R8" s="64"/>
      <c r="S8" s="64"/>
      <c r="T8" s="64"/>
      <c r="U8" s="64"/>
      <c r="V8" s="64"/>
      <c r="W8" s="64"/>
      <c r="X8" s="64"/>
      <c r="Y8" s="64"/>
      <c r="Z8" s="64"/>
    </row>
    <row r="9" spans="1:26" ht="13.5" customHeight="1" x14ac:dyDescent="0.25">
      <c r="A9" s="65" t="s">
        <v>80</v>
      </c>
      <c r="B9" s="66" t="s">
        <v>81</v>
      </c>
      <c r="C9" s="67" t="s">
        <v>82</v>
      </c>
      <c r="D9" s="68" t="s">
        <v>76</v>
      </c>
      <c r="E9" s="64"/>
      <c r="F9" s="64"/>
      <c r="G9" s="64"/>
      <c r="H9" s="64"/>
      <c r="I9" s="64"/>
      <c r="J9" s="64"/>
      <c r="K9" s="64"/>
      <c r="L9" s="64"/>
      <c r="M9" s="64"/>
      <c r="N9" s="64"/>
      <c r="O9" s="64"/>
      <c r="P9" s="64"/>
      <c r="Q9" s="64"/>
      <c r="R9" s="64"/>
      <c r="S9" s="64"/>
      <c r="T9" s="64"/>
      <c r="U9" s="64"/>
      <c r="V9" s="64"/>
      <c r="W9" s="64"/>
      <c r="X9" s="64"/>
      <c r="Y9" s="64"/>
      <c r="Z9" s="64"/>
    </row>
    <row r="10" spans="1:26" ht="12" customHeight="1" x14ac:dyDescent="0.25">
      <c r="A10" s="65" t="s">
        <v>83</v>
      </c>
      <c r="B10" s="68" t="s">
        <v>84</v>
      </c>
      <c r="C10" s="68" t="s">
        <v>84</v>
      </c>
      <c r="D10" s="68" t="s">
        <v>85</v>
      </c>
      <c r="E10" s="64"/>
      <c r="F10" s="64"/>
      <c r="G10" s="64"/>
      <c r="H10" s="64"/>
      <c r="I10" s="64"/>
      <c r="J10" s="64"/>
      <c r="K10" s="64"/>
      <c r="L10" s="64"/>
      <c r="M10" s="64"/>
      <c r="N10" s="64"/>
      <c r="O10" s="64"/>
      <c r="P10" s="64"/>
      <c r="Q10" s="64"/>
      <c r="R10" s="64"/>
      <c r="S10" s="64"/>
      <c r="T10" s="64"/>
      <c r="U10" s="64"/>
      <c r="V10" s="64"/>
      <c r="W10" s="64"/>
      <c r="X10" s="64"/>
      <c r="Y10" s="64"/>
      <c r="Z10" s="64"/>
    </row>
    <row r="11" spans="1:26" ht="12" customHeight="1" x14ac:dyDescent="0.25">
      <c r="A11" s="65" t="s">
        <v>86</v>
      </c>
      <c r="B11" s="67" t="s">
        <v>87</v>
      </c>
      <c r="C11" s="67" t="s">
        <v>87</v>
      </c>
      <c r="D11" s="68" t="s">
        <v>76</v>
      </c>
      <c r="E11" s="64"/>
      <c r="F11" s="64"/>
      <c r="G11" s="64"/>
      <c r="H11" s="64"/>
      <c r="I11" s="64"/>
      <c r="J11" s="64"/>
      <c r="K11" s="64"/>
      <c r="L11" s="64"/>
      <c r="M11" s="64"/>
      <c r="N11" s="64"/>
      <c r="O11" s="64"/>
      <c r="P11" s="64"/>
      <c r="Q11" s="64"/>
      <c r="R11" s="64"/>
      <c r="S11" s="64"/>
      <c r="T11" s="64"/>
      <c r="U11" s="64"/>
      <c r="V11" s="64"/>
      <c r="W11" s="64"/>
      <c r="X11" s="64"/>
      <c r="Y11" s="64"/>
      <c r="Z11" s="64"/>
    </row>
    <row r="12" spans="1:26" ht="12" customHeight="1" x14ac:dyDescent="0.25">
      <c r="A12" s="65" t="s">
        <v>88</v>
      </c>
      <c r="B12" s="68" t="s">
        <v>89</v>
      </c>
      <c r="C12" s="67" t="s">
        <v>90</v>
      </c>
      <c r="D12" s="68" t="s">
        <v>76</v>
      </c>
      <c r="E12" s="64"/>
      <c r="F12" s="64"/>
      <c r="G12" s="64"/>
      <c r="H12" s="64"/>
      <c r="I12" s="64"/>
      <c r="J12" s="64"/>
      <c r="K12" s="64"/>
      <c r="L12" s="64"/>
      <c r="M12" s="64"/>
      <c r="N12" s="64"/>
      <c r="O12" s="64"/>
      <c r="P12" s="64"/>
      <c r="Q12" s="64"/>
      <c r="R12" s="64"/>
      <c r="S12" s="64"/>
      <c r="T12" s="64"/>
      <c r="U12" s="64"/>
      <c r="V12" s="64"/>
      <c r="W12" s="64"/>
      <c r="X12" s="64"/>
      <c r="Y12" s="64"/>
      <c r="Z12" s="64"/>
    </row>
    <row r="13" spans="1:26" ht="12" customHeight="1" x14ac:dyDescent="0.25">
      <c r="A13" s="65" t="s">
        <v>91</v>
      </c>
      <c r="B13" s="66" t="s">
        <v>92</v>
      </c>
      <c r="C13" s="67" t="s">
        <v>93</v>
      </c>
      <c r="D13" s="68" t="s">
        <v>76</v>
      </c>
      <c r="E13" s="64"/>
      <c r="F13" s="64"/>
      <c r="G13" s="64"/>
      <c r="H13" s="64"/>
      <c r="I13" s="64"/>
      <c r="J13" s="64"/>
      <c r="K13" s="64"/>
      <c r="L13" s="64"/>
      <c r="M13" s="64"/>
      <c r="N13" s="64"/>
      <c r="O13" s="64"/>
      <c r="P13" s="64"/>
      <c r="Q13" s="64"/>
      <c r="R13" s="64"/>
      <c r="S13" s="64"/>
      <c r="T13" s="64"/>
      <c r="U13" s="64"/>
      <c r="V13" s="64"/>
      <c r="W13" s="64"/>
      <c r="X13" s="64"/>
      <c r="Y13" s="64"/>
      <c r="Z13" s="64"/>
    </row>
    <row r="14" spans="1:26" ht="12" customHeight="1" x14ac:dyDescent="0.25">
      <c r="A14" s="65" t="s">
        <v>94</v>
      </c>
      <c r="B14" s="68" t="s">
        <v>95</v>
      </c>
      <c r="C14" s="67" t="s">
        <v>96</v>
      </c>
      <c r="D14" s="68" t="s">
        <v>97</v>
      </c>
      <c r="E14" s="64"/>
      <c r="F14" s="64"/>
      <c r="G14" s="64"/>
      <c r="H14" s="64"/>
      <c r="I14" s="64"/>
      <c r="J14" s="64"/>
      <c r="K14" s="64"/>
      <c r="L14" s="64"/>
      <c r="M14" s="64"/>
      <c r="N14" s="64"/>
      <c r="O14" s="64"/>
      <c r="P14" s="64"/>
      <c r="Q14" s="64"/>
      <c r="R14" s="64"/>
      <c r="S14" s="64"/>
      <c r="T14" s="64"/>
      <c r="U14" s="64"/>
      <c r="V14" s="64"/>
      <c r="W14" s="64"/>
      <c r="X14" s="64"/>
      <c r="Y14" s="64"/>
      <c r="Z14" s="64"/>
    </row>
    <row r="15" spans="1:26" ht="12" customHeight="1" x14ac:dyDescent="0.25">
      <c r="A15" s="65" t="s">
        <v>98</v>
      </c>
      <c r="B15" s="66" t="s">
        <v>99</v>
      </c>
      <c r="C15" s="67" t="s">
        <v>99</v>
      </c>
      <c r="D15" s="68" t="s">
        <v>76</v>
      </c>
      <c r="E15" s="64"/>
      <c r="F15" s="64"/>
      <c r="G15" s="64"/>
      <c r="H15" s="64"/>
      <c r="I15" s="64"/>
      <c r="J15" s="64"/>
      <c r="K15" s="64"/>
      <c r="L15" s="64"/>
      <c r="M15" s="64"/>
      <c r="N15" s="64"/>
      <c r="O15" s="64"/>
      <c r="P15" s="64"/>
      <c r="Q15" s="64"/>
      <c r="R15" s="64"/>
      <c r="S15" s="64"/>
      <c r="T15" s="64"/>
      <c r="U15" s="64"/>
      <c r="V15" s="64"/>
      <c r="W15" s="64"/>
      <c r="X15" s="64"/>
      <c r="Y15" s="64"/>
      <c r="Z15" s="64"/>
    </row>
    <row r="16" spans="1:26" ht="12" customHeight="1" x14ac:dyDescent="0.25">
      <c r="A16" s="65" t="s">
        <v>100</v>
      </c>
      <c r="B16" s="66" t="s">
        <v>101</v>
      </c>
      <c r="C16" s="67" t="s">
        <v>102</v>
      </c>
      <c r="D16" s="68" t="s">
        <v>76</v>
      </c>
      <c r="E16" s="64"/>
      <c r="F16" s="64"/>
      <c r="G16" s="64"/>
      <c r="H16" s="64"/>
      <c r="I16" s="64"/>
      <c r="J16" s="64"/>
      <c r="K16" s="64"/>
      <c r="L16" s="64"/>
      <c r="M16" s="64"/>
      <c r="N16" s="64"/>
      <c r="O16" s="64"/>
      <c r="P16" s="64"/>
      <c r="Q16" s="64"/>
      <c r="R16" s="64"/>
      <c r="S16" s="64"/>
      <c r="T16" s="64"/>
      <c r="U16" s="64"/>
      <c r="V16" s="64"/>
      <c r="W16" s="64"/>
      <c r="X16" s="64"/>
      <c r="Y16" s="64"/>
      <c r="Z16" s="64"/>
    </row>
    <row r="17" spans="1:26" ht="12" customHeight="1" x14ac:dyDescent="0.25">
      <c r="A17" s="65" t="s">
        <v>103</v>
      </c>
      <c r="B17" s="66" t="s">
        <v>104</v>
      </c>
      <c r="C17" s="67" t="s">
        <v>105</v>
      </c>
      <c r="D17" s="68" t="s">
        <v>76</v>
      </c>
      <c r="E17" s="64"/>
      <c r="F17" s="64"/>
      <c r="G17" s="64"/>
      <c r="H17" s="64"/>
      <c r="I17" s="64"/>
      <c r="J17" s="64"/>
      <c r="K17" s="64"/>
      <c r="L17" s="64"/>
      <c r="M17" s="64"/>
      <c r="N17" s="64"/>
      <c r="O17" s="64"/>
      <c r="P17" s="64"/>
      <c r="Q17" s="64"/>
      <c r="R17" s="64"/>
      <c r="S17" s="64"/>
      <c r="T17" s="64"/>
      <c r="U17" s="64"/>
      <c r="V17" s="64"/>
      <c r="W17" s="64"/>
      <c r="X17" s="64"/>
      <c r="Y17" s="64"/>
      <c r="Z17" s="64"/>
    </row>
    <row r="18" spans="1:26" ht="12" customHeight="1" x14ac:dyDescent="0.25">
      <c r="A18" s="65" t="s">
        <v>106</v>
      </c>
      <c r="B18" s="68" t="s">
        <v>107</v>
      </c>
      <c r="C18" s="67" t="s">
        <v>108</v>
      </c>
      <c r="D18" s="68" t="s">
        <v>76</v>
      </c>
      <c r="E18" s="64"/>
      <c r="F18" s="64"/>
      <c r="G18" s="64"/>
      <c r="H18" s="64"/>
      <c r="I18" s="64"/>
      <c r="J18" s="64"/>
      <c r="K18" s="64"/>
      <c r="L18" s="64"/>
      <c r="M18" s="64"/>
      <c r="N18" s="64"/>
      <c r="O18" s="64"/>
      <c r="P18" s="64"/>
      <c r="Q18" s="64"/>
      <c r="R18" s="64"/>
      <c r="S18" s="64"/>
      <c r="T18" s="64"/>
      <c r="U18" s="64"/>
      <c r="V18" s="64"/>
      <c r="W18" s="64"/>
      <c r="X18" s="64"/>
      <c r="Y18" s="64"/>
      <c r="Z18" s="64"/>
    </row>
    <row r="19" spans="1:26" ht="12" customHeight="1" x14ac:dyDescent="0.25">
      <c r="A19" s="65" t="s">
        <v>109</v>
      </c>
      <c r="B19" s="66" t="s">
        <v>110</v>
      </c>
      <c r="C19" s="67" t="s">
        <v>111</v>
      </c>
      <c r="D19" s="68" t="s">
        <v>76</v>
      </c>
      <c r="E19" s="64"/>
      <c r="F19" s="64"/>
      <c r="G19" s="64"/>
      <c r="H19" s="64"/>
      <c r="I19" s="64"/>
      <c r="J19" s="64"/>
      <c r="K19" s="64"/>
      <c r="L19" s="64"/>
      <c r="M19" s="64"/>
      <c r="N19" s="64"/>
      <c r="O19" s="64"/>
      <c r="P19" s="64"/>
      <c r="Q19" s="64"/>
      <c r="R19" s="64"/>
      <c r="S19" s="64"/>
      <c r="T19" s="64"/>
      <c r="U19" s="64"/>
      <c r="V19" s="64"/>
      <c r="W19" s="64"/>
      <c r="X19" s="64"/>
      <c r="Y19" s="64"/>
      <c r="Z19" s="64"/>
    </row>
    <row r="20" spans="1:26" ht="12" customHeight="1" x14ac:dyDescent="0.25">
      <c r="A20" s="65" t="s">
        <v>112</v>
      </c>
      <c r="B20" s="66" t="s">
        <v>113</v>
      </c>
      <c r="C20" s="67" t="s">
        <v>114</v>
      </c>
      <c r="D20" s="68" t="s">
        <v>76</v>
      </c>
      <c r="E20" s="64"/>
      <c r="F20" s="64"/>
      <c r="G20" s="64"/>
      <c r="H20" s="64"/>
      <c r="I20" s="64"/>
      <c r="J20" s="64"/>
      <c r="K20" s="64"/>
      <c r="L20" s="64"/>
      <c r="M20" s="64"/>
      <c r="N20" s="64"/>
      <c r="O20" s="64"/>
      <c r="P20" s="64"/>
      <c r="Q20" s="64"/>
      <c r="R20" s="64"/>
      <c r="S20" s="64"/>
      <c r="T20" s="64"/>
      <c r="U20" s="64"/>
      <c r="V20" s="64"/>
      <c r="W20" s="64"/>
      <c r="X20" s="64"/>
      <c r="Y20" s="64"/>
      <c r="Z20" s="64"/>
    </row>
    <row r="21" spans="1:26" ht="12" customHeight="1" x14ac:dyDescent="0.25">
      <c r="A21" s="65" t="s">
        <v>115</v>
      </c>
      <c r="B21" s="66" t="s">
        <v>116</v>
      </c>
      <c r="C21" s="67" t="s">
        <v>117</v>
      </c>
      <c r="D21" s="68" t="s">
        <v>76</v>
      </c>
      <c r="E21" s="64"/>
      <c r="F21" s="64"/>
      <c r="G21" s="64"/>
      <c r="H21" s="64"/>
      <c r="I21" s="64"/>
      <c r="J21" s="64"/>
      <c r="K21" s="64"/>
      <c r="L21" s="64"/>
      <c r="M21" s="64"/>
      <c r="N21" s="64"/>
      <c r="O21" s="64"/>
      <c r="P21" s="64"/>
      <c r="Q21" s="64"/>
      <c r="R21" s="64"/>
      <c r="S21" s="64"/>
      <c r="T21" s="64"/>
      <c r="U21" s="64"/>
      <c r="V21" s="64"/>
      <c r="W21" s="64"/>
      <c r="X21" s="64"/>
      <c r="Y21" s="64"/>
      <c r="Z21" s="64"/>
    </row>
    <row r="22" spans="1:26" ht="12" customHeight="1" x14ac:dyDescent="0.25">
      <c r="A22" s="65" t="s">
        <v>118</v>
      </c>
      <c r="B22" s="68" t="s">
        <v>119</v>
      </c>
      <c r="C22" s="67" t="s">
        <v>120</v>
      </c>
      <c r="D22" s="68" t="s">
        <v>76</v>
      </c>
      <c r="E22" s="64"/>
      <c r="F22" s="64"/>
      <c r="G22" s="64"/>
      <c r="H22" s="64"/>
      <c r="I22" s="64"/>
      <c r="J22" s="64"/>
      <c r="K22" s="64"/>
      <c r="L22" s="64"/>
      <c r="M22" s="64"/>
      <c r="N22" s="64"/>
      <c r="O22" s="64"/>
      <c r="P22" s="64"/>
      <c r="Q22" s="64"/>
      <c r="R22" s="64"/>
      <c r="S22" s="64"/>
      <c r="T22" s="64"/>
      <c r="U22" s="64"/>
      <c r="V22" s="64"/>
      <c r="W22" s="64"/>
      <c r="X22" s="64"/>
      <c r="Y22" s="64"/>
      <c r="Z22" s="64"/>
    </row>
    <row r="23" spans="1:26" ht="12" customHeight="1" x14ac:dyDescent="0.25">
      <c r="A23" s="65" t="s">
        <v>121</v>
      </c>
      <c r="B23" s="66" t="s">
        <v>122</v>
      </c>
      <c r="C23" s="67" t="s">
        <v>123</v>
      </c>
      <c r="D23" s="68" t="s">
        <v>76</v>
      </c>
      <c r="E23" s="64"/>
      <c r="F23" s="64"/>
      <c r="G23" s="64"/>
      <c r="H23" s="64"/>
      <c r="I23" s="64"/>
      <c r="J23" s="64"/>
      <c r="K23" s="64"/>
      <c r="L23" s="64"/>
      <c r="M23" s="64"/>
      <c r="N23" s="64"/>
      <c r="O23" s="64"/>
      <c r="P23" s="64"/>
      <c r="Q23" s="64"/>
      <c r="R23" s="64"/>
      <c r="S23" s="64"/>
      <c r="T23" s="64"/>
      <c r="U23" s="64"/>
      <c r="V23" s="64"/>
      <c r="W23" s="64"/>
      <c r="X23" s="64"/>
      <c r="Y23" s="64"/>
      <c r="Z23" s="64"/>
    </row>
    <row r="24" spans="1:26" ht="12" customHeight="1" x14ac:dyDescent="0.25">
      <c r="A24" s="65" t="s">
        <v>124</v>
      </c>
      <c r="B24" s="68" t="s">
        <v>125</v>
      </c>
      <c r="C24" s="67" t="s">
        <v>126</v>
      </c>
      <c r="D24" s="68" t="s">
        <v>76</v>
      </c>
      <c r="E24" s="64"/>
      <c r="F24" s="64"/>
      <c r="G24" s="64"/>
      <c r="H24" s="64"/>
      <c r="I24" s="64"/>
      <c r="J24" s="64"/>
      <c r="K24" s="64"/>
      <c r="L24" s="64"/>
      <c r="M24" s="64"/>
      <c r="N24" s="64"/>
      <c r="O24" s="64"/>
      <c r="P24" s="64"/>
      <c r="Q24" s="64"/>
      <c r="R24" s="64"/>
      <c r="S24" s="64"/>
      <c r="T24" s="64"/>
      <c r="U24" s="64"/>
      <c r="V24" s="64"/>
      <c r="W24" s="64"/>
      <c r="X24" s="64"/>
      <c r="Y24" s="64"/>
      <c r="Z24" s="64"/>
    </row>
    <row r="25" spans="1:26" ht="12" customHeight="1" x14ac:dyDescent="0.25">
      <c r="A25" s="65" t="s">
        <v>127</v>
      </c>
      <c r="B25" s="66" t="s">
        <v>128</v>
      </c>
      <c r="C25" s="67" t="s">
        <v>129</v>
      </c>
      <c r="D25" s="68" t="s">
        <v>76</v>
      </c>
      <c r="E25" s="64"/>
      <c r="F25" s="64"/>
      <c r="G25" s="64"/>
      <c r="H25" s="64"/>
      <c r="I25" s="64"/>
      <c r="J25" s="64"/>
      <c r="K25" s="64"/>
      <c r="L25" s="64"/>
      <c r="M25" s="64"/>
      <c r="N25" s="64"/>
      <c r="O25" s="64"/>
      <c r="P25" s="64"/>
      <c r="Q25" s="64"/>
      <c r="R25" s="64"/>
      <c r="S25" s="64"/>
      <c r="T25" s="64"/>
      <c r="U25" s="64"/>
      <c r="V25" s="64"/>
      <c r="W25" s="64"/>
      <c r="X25" s="64"/>
      <c r="Y25" s="64"/>
      <c r="Z25" s="64"/>
    </row>
    <row r="26" spans="1:26" ht="12" customHeight="1" x14ac:dyDescent="0.25">
      <c r="A26" s="65" t="s">
        <v>130</v>
      </c>
      <c r="B26" s="68" t="s">
        <v>131</v>
      </c>
      <c r="C26" s="67" t="s">
        <v>132</v>
      </c>
      <c r="D26" s="68" t="s">
        <v>76</v>
      </c>
      <c r="E26" s="64"/>
      <c r="F26" s="64"/>
      <c r="G26" s="64"/>
      <c r="H26" s="64"/>
      <c r="I26" s="64"/>
      <c r="J26" s="64"/>
      <c r="K26" s="64"/>
      <c r="L26" s="64"/>
      <c r="M26" s="64"/>
      <c r="N26" s="64"/>
      <c r="O26" s="64"/>
      <c r="P26" s="64"/>
      <c r="Q26" s="64"/>
      <c r="R26" s="64"/>
      <c r="S26" s="64"/>
      <c r="T26" s="64"/>
      <c r="U26" s="64"/>
      <c r="V26" s="64"/>
      <c r="W26" s="64"/>
      <c r="X26" s="64"/>
      <c r="Y26" s="64"/>
      <c r="Z26" s="64"/>
    </row>
    <row r="27" spans="1:26" ht="12" customHeight="1" x14ac:dyDescent="0.25">
      <c r="A27" s="65" t="s">
        <v>133</v>
      </c>
      <c r="B27" s="66" t="s">
        <v>134</v>
      </c>
      <c r="C27" s="67" t="s">
        <v>135</v>
      </c>
      <c r="D27" s="68" t="s">
        <v>76</v>
      </c>
      <c r="E27" s="64"/>
      <c r="F27" s="64"/>
      <c r="G27" s="64"/>
      <c r="H27" s="64"/>
      <c r="I27" s="64"/>
      <c r="J27" s="64"/>
      <c r="K27" s="64"/>
      <c r="L27" s="64"/>
      <c r="M27" s="64"/>
      <c r="N27" s="64"/>
      <c r="O27" s="64"/>
      <c r="P27" s="64"/>
      <c r="Q27" s="64"/>
      <c r="R27" s="64"/>
      <c r="S27" s="64"/>
      <c r="T27" s="64"/>
      <c r="U27" s="64"/>
      <c r="V27" s="64"/>
      <c r="W27" s="64"/>
      <c r="X27" s="64"/>
      <c r="Y27" s="64"/>
      <c r="Z27" s="64"/>
    </row>
    <row r="28" spans="1:26" ht="12" customHeight="1" x14ac:dyDescent="0.25">
      <c r="A28" s="65" t="s">
        <v>136</v>
      </c>
      <c r="B28" s="66" t="s">
        <v>137</v>
      </c>
      <c r="C28" s="67" t="s">
        <v>138</v>
      </c>
      <c r="D28" s="68" t="s">
        <v>76</v>
      </c>
      <c r="E28" s="64"/>
      <c r="F28" s="64"/>
      <c r="G28" s="64"/>
      <c r="H28" s="64"/>
      <c r="I28" s="64"/>
      <c r="J28" s="64"/>
      <c r="K28" s="64"/>
      <c r="L28" s="64"/>
      <c r="M28" s="64"/>
      <c r="N28" s="64"/>
      <c r="O28" s="64"/>
      <c r="P28" s="64"/>
      <c r="Q28" s="64"/>
      <c r="R28" s="64"/>
      <c r="S28" s="64"/>
      <c r="T28" s="64"/>
      <c r="U28" s="64"/>
      <c r="V28" s="64"/>
      <c r="W28" s="64"/>
      <c r="X28" s="64"/>
      <c r="Y28" s="64"/>
      <c r="Z28" s="64"/>
    </row>
    <row r="29" spans="1:26" ht="12" customHeight="1" x14ac:dyDescent="0.25">
      <c r="A29" s="65" t="s">
        <v>139</v>
      </c>
      <c r="B29" s="66" t="s">
        <v>140</v>
      </c>
      <c r="C29" s="67" t="s">
        <v>141</v>
      </c>
      <c r="D29" s="68" t="s">
        <v>76</v>
      </c>
      <c r="E29" s="64"/>
      <c r="F29" s="64"/>
      <c r="G29" s="64"/>
      <c r="H29" s="64"/>
      <c r="I29" s="64"/>
      <c r="J29" s="64"/>
      <c r="K29" s="64"/>
      <c r="L29" s="64"/>
      <c r="M29" s="64"/>
      <c r="N29" s="64"/>
      <c r="O29" s="64"/>
      <c r="P29" s="64"/>
      <c r="Q29" s="64"/>
      <c r="R29" s="64"/>
      <c r="S29" s="64"/>
      <c r="T29" s="64"/>
      <c r="U29" s="64"/>
      <c r="V29" s="64"/>
      <c r="W29" s="64"/>
      <c r="X29" s="64"/>
      <c r="Y29" s="64"/>
      <c r="Z29" s="64"/>
    </row>
    <row r="30" spans="1:26" ht="12" customHeight="1" x14ac:dyDescent="0.25">
      <c r="A30" s="65" t="s">
        <v>142</v>
      </c>
      <c r="B30" s="66" t="s">
        <v>143</v>
      </c>
      <c r="C30" s="67" t="s">
        <v>143</v>
      </c>
      <c r="D30" s="68" t="s">
        <v>144</v>
      </c>
      <c r="E30" s="64"/>
      <c r="F30" s="64"/>
      <c r="G30" s="64"/>
      <c r="H30" s="64"/>
      <c r="I30" s="64"/>
      <c r="J30" s="64"/>
      <c r="K30" s="64"/>
      <c r="L30" s="64"/>
      <c r="M30" s="64"/>
      <c r="N30" s="64"/>
      <c r="O30" s="64"/>
      <c r="P30" s="64"/>
      <c r="Q30" s="64"/>
      <c r="R30" s="64"/>
      <c r="S30" s="64"/>
      <c r="T30" s="64"/>
      <c r="U30" s="64"/>
      <c r="V30" s="64"/>
      <c r="W30" s="64"/>
      <c r="X30" s="64"/>
      <c r="Y30" s="64"/>
      <c r="Z30" s="64"/>
    </row>
    <row r="31" spans="1:26" ht="12" customHeight="1" x14ac:dyDescent="0.25">
      <c r="A31" s="65" t="s">
        <v>145</v>
      </c>
      <c r="B31" s="66" t="s">
        <v>146</v>
      </c>
      <c r="C31" s="67" t="s">
        <v>147</v>
      </c>
      <c r="D31" s="68" t="s">
        <v>76</v>
      </c>
      <c r="E31" s="64"/>
      <c r="F31" s="64"/>
      <c r="G31" s="64"/>
      <c r="H31" s="64"/>
      <c r="I31" s="64"/>
      <c r="J31" s="64"/>
      <c r="K31" s="64"/>
      <c r="L31" s="64"/>
      <c r="M31" s="64"/>
      <c r="N31" s="64"/>
      <c r="O31" s="64"/>
      <c r="P31" s="64"/>
      <c r="Q31" s="64"/>
      <c r="R31" s="64"/>
      <c r="S31" s="64"/>
      <c r="T31" s="64"/>
      <c r="U31" s="64"/>
      <c r="V31" s="64"/>
      <c r="W31" s="64"/>
      <c r="X31" s="64"/>
      <c r="Y31" s="64"/>
      <c r="Z31" s="64"/>
    </row>
    <row r="32" spans="1:26" ht="12" customHeight="1" x14ac:dyDescent="0.25">
      <c r="A32" s="65" t="s">
        <v>148</v>
      </c>
      <c r="B32" s="66" t="s">
        <v>149</v>
      </c>
      <c r="C32" s="67" t="s">
        <v>150</v>
      </c>
      <c r="D32" s="68" t="s">
        <v>76</v>
      </c>
      <c r="E32" s="64"/>
      <c r="F32" s="64"/>
      <c r="G32" s="64"/>
      <c r="H32" s="64"/>
      <c r="I32" s="64"/>
      <c r="J32" s="64"/>
      <c r="K32" s="64"/>
      <c r="L32" s="64"/>
      <c r="M32" s="64"/>
      <c r="N32" s="64"/>
      <c r="O32" s="64"/>
      <c r="P32" s="64"/>
      <c r="Q32" s="64"/>
      <c r="R32" s="64"/>
      <c r="S32" s="64"/>
      <c r="T32" s="64"/>
      <c r="U32" s="64"/>
      <c r="V32" s="64"/>
      <c r="W32" s="64"/>
      <c r="X32" s="64"/>
      <c r="Y32" s="64"/>
      <c r="Z32" s="64"/>
    </row>
    <row r="33" spans="1:26" ht="12" customHeight="1" x14ac:dyDescent="0.25">
      <c r="A33" s="65" t="s">
        <v>151</v>
      </c>
      <c r="B33" s="68" t="s">
        <v>152</v>
      </c>
      <c r="C33" s="67" t="s">
        <v>153</v>
      </c>
      <c r="D33" s="68" t="s">
        <v>76</v>
      </c>
      <c r="E33" s="64"/>
      <c r="F33" s="64"/>
      <c r="G33" s="64"/>
      <c r="H33" s="64"/>
      <c r="I33" s="64"/>
      <c r="J33" s="64"/>
      <c r="K33" s="64"/>
      <c r="L33" s="64"/>
      <c r="M33" s="64"/>
      <c r="N33" s="64"/>
      <c r="O33" s="64"/>
      <c r="P33" s="64"/>
      <c r="Q33" s="64"/>
      <c r="R33" s="64"/>
      <c r="S33" s="64"/>
      <c r="T33" s="64"/>
      <c r="U33" s="64"/>
      <c r="V33" s="64"/>
      <c r="W33" s="64"/>
      <c r="X33" s="64"/>
      <c r="Y33" s="64"/>
      <c r="Z33" s="64"/>
    </row>
    <row r="34" spans="1:26" ht="12" customHeight="1" x14ac:dyDescent="0.25">
      <c r="A34" s="65" t="s">
        <v>154</v>
      </c>
      <c r="B34" s="66" t="s">
        <v>155</v>
      </c>
      <c r="C34" s="67" t="s">
        <v>156</v>
      </c>
      <c r="D34" s="68" t="s">
        <v>76</v>
      </c>
      <c r="E34" s="64"/>
      <c r="F34" s="64"/>
      <c r="G34" s="64"/>
      <c r="H34" s="64"/>
      <c r="I34" s="64"/>
      <c r="J34" s="64"/>
      <c r="K34" s="64"/>
      <c r="L34" s="64"/>
      <c r="M34" s="64"/>
      <c r="N34" s="64"/>
      <c r="O34" s="64"/>
      <c r="P34" s="64"/>
      <c r="Q34" s="64"/>
      <c r="R34" s="64"/>
      <c r="S34" s="64"/>
      <c r="T34" s="64"/>
      <c r="U34" s="64"/>
      <c r="V34" s="64"/>
      <c r="W34" s="64"/>
      <c r="X34" s="64"/>
      <c r="Y34" s="64"/>
      <c r="Z34" s="64"/>
    </row>
    <row r="35" spans="1:26" ht="12" customHeight="1" x14ac:dyDescent="0.25">
      <c r="A35" s="65" t="s">
        <v>157</v>
      </c>
      <c r="B35" s="68" t="s">
        <v>158</v>
      </c>
      <c r="C35" s="67" t="s">
        <v>159</v>
      </c>
      <c r="D35" s="68" t="s">
        <v>76</v>
      </c>
      <c r="E35" s="64"/>
      <c r="F35" s="64"/>
      <c r="G35" s="64"/>
      <c r="H35" s="64"/>
      <c r="I35" s="64"/>
      <c r="J35" s="64"/>
      <c r="K35" s="64"/>
      <c r="L35" s="64"/>
      <c r="M35" s="64"/>
      <c r="N35" s="64"/>
      <c r="O35" s="64"/>
      <c r="P35" s="64"/>
      <c r="Q35" s="64"/>
      <c r="R35" s="64"/>
      <c r="S35" s="64"/>
      <c r="T35" s="64"/>
      <c r="U35" s="64"/>
      <c r="V35" s="64"/>
      <c r="W35" s="64"/>
      <c r="X35" s="64"/>
      <c r="Y35" s="64"/>
      <c r="Z35" s="64"/>
    </row>
    <row r="36" spans="1:26" ht="12" customHeight="1" x14ac:dyDescent="0.25">
      <c r="A36" s="65" t="s">
        <v>160</v>
      </c>
      <c r="B36" s="66" t="s">
        <v>161</v>
      </c>
      <c r="C36" s="67" t="s">
        <v>162</v>
      </c>
      <c r="D36" s="68" t="s">
        <v>76</v>
      </c>
      <c r="E36" s="64"/>
      <c r="F36" s="64"/>
      <c r="G36" s="64"/>
      <c r="H36" s="64"/>
      <c r="I36" s="64"/>
      <c r="J36" s="64"/>
      <c r="K36" s="64"/>
      <c r="L36" s="64"/>
      <c r="M36" s="64"/>
      <c r="N36" s="64"/>
      <c r="O36" s="64"/>
      <c r="P36" s="64"/>
      <c r="Q36" s="64"/>
      <c r="R36" s="64"/>
      <c r="S36" s="64"/>
      <c r="T36" s="64"/>
      <c r="U36" s="64"/>
      <c r="V36" s="64"/>
      <c r="W36" s="64"/>
      <c r="X36" s="64"/>
      <c r="Y36" s="64"/>
      <c r="Z36" s="64"/>
    </row>
    <row r="37" spans="1:26" ht="12" customHeight="1" x14ac:dyDescent="0.25">
      <c r="A37" s="65" t="s">
        <v>163</v>
      </c>
      <c r="B37" s="66" t="s">
        <v>164</v>
      </c>
      <c r="C37" s="67" t="s">
        <v>165</v>
      </c>
      <c r="D37" s="68" t="s">
        <v>76</v>
      </c>
      <c r="E37" s="64"/>
      <c r="F37" s="64"/>
      <c r="G37" s="64"/>
      <c r="H37" s="64"/>
      <c r="I37" s="64"/>
      <c r="J37" s="64"/>
      <c r="K37" s="64"/>
      <c r="L37" s="64"/>
      <c r="M37" s="64"/>
      <c r="N37" s="64"/>
      <c r="O37" s="64"/>
      <c r="P37" s="64"/>
      <c r="Q37" s="64"/>
      <c r="R37" s="64"/>
      <c r="S37" s="64"/>
      <c r="T37" s="64"/>
      <c r="U37" s="64"/>
      <c r="V37" s="64"/>
      <c r="W37" s="64"/>
      <c r="X37" s="64"/>
      <c r="Y37" s="64"/>
      <c r="Z37" s="64"/>
    </row>
    <row r="38" spans="1:26" ht="12" customHeight="1" x14ac:dyDescent="0.25">
      <c r="A38" s="65" t="s">
        <v>166</v>
      </c>
      <c r="B38" s="66" t="s">
        <v>167</v>
      </c>
      <c r="C38" s="67" t="s">
        <v>168</v>
      </c>
      <c r="D38" s="68" t="s">
        <v>76</v>
      </c>
      <c r="E38" s="64"/>
      <c r="F38" s="64"/>
      <c r="G38" s="64"/>
      <c r="H38" s="64"/>
      <c r="I38" s="64"/>
      <c r="J38" s="64"/>
      <c r="K38" s="64"/>
      <c r="L38" s="64"/>
      <c r="M38" s="64"/>
      <c r="N38" s="64"/>
      <c r="O38" s="64"/>
      <c r="P38" s="64"/>
      <c r="Q38" s="64"/>
      <c r="R38" s="64"/>
      <c r="S38" s="64"/>
      <c r="T38" s="64"/>
      <c r="U38" s="64"/>
      <c r="V38" s="64"/>
      <c r="W38" s="64"/>
      <c r="X38" s="64"/>
      <c r="Y38" s="64"/>
      <c r="Z38" s="64"/>
    </row>
    <row r="39" spans="1:26" ht="12" customHeight="1" x14ac:dyDescent="0.25">
      <c r="A39" s="65" t="s">
        <v>169</v>
      </c>
      <c r="B39" s="66" t="s">
        <v>170</v>
      </c>
      <c r="C39" s="67" t="s">
        <v>171</v>
      </c>
      <c r="D39" s="68" t="s">
        <v>76</v>
      </c>
      <c r="E39" s="64"/>
      <c r="F39" s="64"/>
      <c r="G39" s="64"/>
      <c r="H39" s="64"/>
      <c r="I39" s="64"/>
      <c r="J39" s="64"/>
      <c r="K39" s="64"/>
      <c r="L39" s="64"/>
      <c r="M39" s="64"/>
      <c r="N39" s="64"/>
      <c r="O39" s="64"/>
      <c r="P39" s="64"/>
      <c r="Q39" s="64"/>
      <c r="R39" s="64"/>
      <c r="S39" s="64"/>
      <c r="T39" s="64"/>
      <c r="U39" s="64"/>
      <c r="V39" s="64"/>
      <c r="W39" s="64"/>
      <c r="X39" s="64"/>
      <c r="Y39" s="64"/>
      <c r="Z39" s="64"/>
    </row>
    <row r="40" spans="1:26" ht="12" customHeight="1" x14ac:dyDescent="0.25">
      <c r="A40" s="65" t="s">
        <v>172</v>
      </c>
      <c r="B40" s="68" t="s">
        <v>173</v>
      </c>
      <c r="C40" s="67" t="s">
        <v>174</v>
      </c>
      <c r="D40" s="68" t="s">
        <v>76</v>
      </c>
      <c r="E40" s="64"/>
      <c r="F40" s="64"/>
      <c r="G40" s="64"/>
      <c r="H40" s="64"/>
      <c r="I40" s="64"/>
      <c r="J40" s="64"/>
      <c r="K40" s="64"/>
      <c r="L40" s="64"/>
      <c r="M40" s="64"/>
      <c r="N40" s="64"/>
      <c r="O40" s="64"/>
      <c r="P40" s="64"/>
      <c r="Q40" s="64"/>
      <c r="R40" s="64"/>
      <c r="S40" s="64"/>
      <c r="T40" s="64"/>
      <c r="U40" s="64"/>
      <c r="V40" s="64"/>
      <c r="W40" s="64"/>
      <c r="X40" s="64"/>
      <c r="Y40" s="64"/>
      <c r="Z40" s="64"/>
    </row>
    <row r="41" spans="1:26" ht="12" customHeight="1" x14ac:dyDescent="0.25">
      <c r="A41" s="65" t="s">
        <v>175</v>
      </c>
      <c r="B41" s="66" t="s">
        <v>176</v>
      </c>
      <c r="C41" s="67" t="s">
        <v>177</v>
      </c>
      <c r="D41" s="68" t="s">
        <v>76</v>
      </c>
      <c r="E41" s="64"/>
      <c r="F41" s="64"/>
      <c r="G41" s="64"/>
      <c r="H41" s="64"/>
      <c r="I41" s="64"/>
      <c r="J41" s="64"/>
      <c r="K41" s="64"/>
      <c r="L41" s="64"/>
      <c r="M41" s="64"/>
      <c r="N41" s="64"/>
      <c r="O41" s="64"/>
      <c r="P41" s="64"/>
      <c r="Q41" s="64"/>
      <c r="R41" s="64"/>
      <c r="S41" s="64"/>
      <c r="T41" s="64"/>
      <c r="U41" s="64"/>
      <c r="V41" s="64"/>
      <c r="W41" s="64"/>
      <c r="X41" s="64"/>
      <c r="Y41" s="64"/>
      <c r="Z41" s="64"/>
    </row>
    <row r="42" spans="1:26" ht="12" customHeight="1" x14ac:dyDescent="0.25">
      <c r="A42" s="65" t="s">
        <v>178</v>
      </c>
      <c r="B42" s="68" t="s">
        <v>179</v>
      </c>
      <c r="C42" s="67" t="s">
        <v>180</v>
      </c>
      <c r="D42" s="68" t="s">
        <v>76</v>
      </c>
      <c r="E42" s="64"/>
      <c r="F42" s="64"/>
      <c r="G42" s="64"/>
      <c r="H42" s="64"/>
      <c r="I42" s="64"/>
      <c r="J42" s="64"/>
      <c r="K42" s="64"/>
      <c r="L42" s="64"/>
      <c r="M42" s="64"/>
      <c r="N42" s="64"/>
      <c r="O42" s="64"/>
      <c r="P42" s="64"/>
      <c r="Q42" s="64"/>
      <c r="R42" s="64"/>
      <c r="S42" s="64"/>
      <c r="T42" s="64"/>
      <c r="U42" s="64"/>
      <c r="V42" s="64"/>
      <c r="W42" s="64"/>
      <c r="X42" s="64"/>
      <c r="Y42" s="64"/>
      <c r="Z42" s="64"/>
    </row>
    <row r="43" spans="1:26" ht="12" customHeight="1" x14ac:dyDescent="0.25">
      <c r="A43" s="65" t="s">
        <v>181</v>
      </c>
      <c r="B43" s="66" t="s">
        <v>182</v>
      </c>
      <c r="C43" s="67" t="s">
        <v>183</v>
      </c>
      <c r="D43" s="68" t="s">
        <v>76</v>
      </c>
      <c r="E43" s="64"/>
      <c r="F43" s="64"/>
      <c r="G43" s="64"/>
      <c r="H43" s="64"/>
      <c r="I43" s="64"/>
      <c r="J43" s="64"/>
      <c r="K43" s="64"/>
      <c r="L43" s="64"/>
      <c r="M43" s="64"/>
      <c r="N43" s="64"/>
      <c r="O43" s="64"/>
      <c r="P43" s="64"/>
      <c r="Q43" s="64"/>
      <c r="R43" s="64"/>
      <c r="S43" s="64"/>
      <c r="T43" s="64"/>
      <c r="U43" s="64"/>
      <c r="V43" s="64"/>
      <c r="W43" s="64"/>
      <c r="X43" s="64"/>
      <c r="Y43" s="64"/>
      <c r="Z43" s="64"/>
    </row>
    <row r="44" spans="1:26" ht="12" customHeight="1" x14ac:dyDescent="0.25">
      <c r="A44" s="65" t="s">
        <v>184</v>
      </c>
      <c r="B44" s="68" t="s">
        <v>185</v>
      </c>
      <c r="C44" s="67" t="s">
        <v>186</v>
      </c>
      <c r="D44" s="68" t="s">
        <v>76</v>
      </c>
      <c r="E44" s="64"/>
      <c r="F44" s="64"/>
      <c r="G44" s="64"/>
      <c r="H44" s="64"/>
      <c r="I44" s="64"/>
      <c r="J44" s="64"/>
      <c r="K44" s="64"/>
      <c r="L44" s="64"/>
      <c r="M44" s="64"/>
      <c r="N44" s="64"/>
      <c r="O44" s="64"/>
      <c r="P44" s="64"/>
      <c r="Q44" s="64"/>
      <c r="R44" s="64"/>
      <c r="S44" s="64"/>
      <c r="T44" s="64"/>
      <c r="U44" s="64"/>
      <c r="V44" s="64"/>
      <c r="W44" s="64"/>
      <c r="X44" s="64"/>
      <c r="Y44" s="64"/>
      <c r="Z44" s="64"/>
    </row>
    <row r="45" spans="1:26" ht="12" customHeight="1" x14ac:dyDescent="0.25">
      <c r="A45" s="65" t="s">
        <v>187</v>
      </c>
      <c r="B45" s="66" t="s">
        <v>188</v>
      </c>
      <c r="C45" s="67" t="s">
        <v>189</v>
      </c>
      <c r="D45" s="68" t="s">
        <v>76</v>
      </c>
      <c r="E45" s="64"/>
      <c r="F45" s="64"/>
      <c r="G45" s="64"/>
      <c r="H45" s="64"/>
      <c r="I45" s="64"/>
      <c r="J45" s="64"/>
      <c r="K45" s="64"/>
      <c r="L45" s="64"/>
      <c r="M45" s="64"/>
      <c r="N45" s="64"/>
      <c r="O45" s="64"/>
      <c r="P45" s="64"/>
      <c r="Q45" s="64"/>
      <c r="R45" s="64"/>
      <c r="S45" s="64"/>
      <c r="T45" s="64"/>
      <c r="U45" s="64"/>
      <c r="V45" s="64"/>
      <c r="W45" s="64"/>
      <c r="X45" s="64"/>
      <c r="Y45" s="64"/>
      <c r="Z45" s="64"/>
    </row>
    <row r="46" spans="1:26" ht="12" customHeight="1" x14ac:dyDescent="0.25">
      <c r="A46" s="65" t="s">
        <v>190</v>
      </c>
      <c r="B46" s="66" t="s">
        <v>191</v>
      </c>
      <c r="C46" s="67" t="s">
        <v>192</v>
      </c>
      <c r="D46" s="68" t="s">
        <v>76</v>
      </c>
      <c r="E46" s="64"/>
      <c r="F46" s="64"/>
      <c r="G46" s="64"/>
      <c r="H46" s="64"/>
      <c r="I46" s="64"/>
      <c r="J46" s="64"/>
      <c r="K46" s="64"/>
      <c r="L46" s="64"/>
      <c r="M46" s="64"/>
      <c r="N46" s="64"/>
      <c r="O46" s="64"/>
      <c r="P46" s="64"/>
      <c r="Q46" s="64"/>
      <c r="R46" s="64"/>
      <c r="S46" s="64"/>
      <c r="T46" s="64"/>
      <c r="U46" s="64"/>
      <c r="V46" s="64"/>
      <c r="W46" s="64"/>
      <c r="X46" s="64"/>
      <c r="Y46" s="64"/>
      <c r="Z46" s="64"/>
    </row>
    <row r="47" spans="1:26" ht="12" customHeight="1" x14ac:dyDescent="0.25">
      <c r="A47" s="65" t="s">
        <v>193</v>
      </c>
      <c r="B47" s="68" t="s">
        <v>194</v>
      </c>
      <c r="C47" s="67" t="s">
        <v>195</v>
      </c>
      <c r="D47" s="68" t="s">
        <v>196</v>
      </c>
      <c r="E47" s="64"/>
      <c r="F47" s="64"/>
      <c r="G47" s="64"/>
      <c r="H47" s="64"/>
      <c r="I47" s="64"/>
      <c r="J47" s="64"/>
      <c r="K47" s="64"/>
      <c r="L47" s="64"/>
      <c r="M47" s="64"/>
      <c r="N47" s="64"/>
      <c r="O47" s="64"/>
      <c r="P47" s="64"/>
      <c r="Q47" s="64"/>
      <c r="R47" s="64"/>
      <c r="S47" s="64"/>
      <c r="T47" s="64"/>
      <c r="U47" s="64"/>
      <c r="V47" s="64"/>
      <c r="W47" s="64"/>
      <c r="X47" s="64"/>
      <c r="Y47" s="64"/>
      <c r="Z47" s="64"/>
    </row>
    <row r="48" spans="1:26" ht="12" customHeight="1" x14ac:dyDescent="0.25">
      <c r="A48" s="65" t="s">
        <v>197</v>
      </c>
      <c r="B48" s="66" t="s">
        <v>198</v>
      </c>
      <c r="C48" s="67" t="s">
        <v>199</v>
      </c>
      <c r="D48" s="68" t="s">
        <v>200</v>
      </c>
      <c r="E48" s="64"/>
      <c r="F48" s="64"/>
      <c r="G48" s="64"/>
      <c r="H48" s="64"/>
      <c r="I48" s="64"/>
      <c r="J48" s="64"/>
      <c r="K48" s="64"/>
      <c r="L48" s="64"/>
      <c r="M48" s="64"/>
      <c r="N48" s="64"/>
      <c r="O48" s="64"/>
      <c r="P48" s="64"/>
      <c r="Q48" s="64"/>
      <c r="R48" s="64"/>
      <c r="S48" s="64"/>
      <c r="T48" s="64"/>
      <c r="U48" s="64"/>
      <c r="V48" s="64"/>
      <c r="W48" s="64"/>
      <c r="X48" s="64"/>
      <c r="Y48" s="64"/>
      <c r="Z48" s="64"/>
    </row>
    <row r="49" spans="1:26" ht="12" customHeight="1" x14ac:dyDescent="0.25">
      <c r="A49" s="68">
        <v>31505</v>
      </c>
      <c r="B49" s="68" t="s">
        <v>198</v>
      </c>
      <c r="C49" s="67" t="s">
        <v>201</v>
      </c>
      <c r="D49" s="68" t="s">
        <v>202</v>
      </c>
      <c r="E49" s="64"/>
      <c r="F49" s="64"/>
      <c r="G49" s="64"/>
      <c r="H49" s="64"/>
      <c r="I49" s="64"/>
      <c r="J49" s="64"/>
      <c r="K49" s="64"/>
      <c r="L49" s="64"/>
      <c r="M49" s="64"/>
      <c r="N49" s="64"/>
      <c r="O49" s="64"/>
      <c r="P49" s="64"/>
      <c r="Q49" s="64"/>
      <c r="R49" s="64"/>
      <c r="S49" s="64"/>
      <c r="T49" s="64"/>
      <c r="U49" s="64"/>
      <c r="V49" s="64"/>
      <c r="W49" s="64"/>
      <c r="X49" s="64"/>
      <c r="Y49" s="64"/>
      <c r="Z49" s="64"/>
    </row>
    <row r="50" spans="1:26" ht="12" customHeight="1" x14ac:dyDescent="0.25">
      <c r="A50" s="68">
        <v>31613</v>
      </c>
      <c r="B50" s="68" t="s">
        <v>203</v>
      </c>
      <c r="C50" s="67" t="s">
        <v>204</v>
      </c>
      <c r="D50" s="68" t="s">
        <v>200</v>
      </c>
      <c r="E50" s="64"/>
      <c r="F50" s="64"/>
      <c r="G50" s="64"/>
      <c r="H50" s="64"/>
      <c r="I50" s="64"/>
      <c r="J50" s="64"/>
      <c r="K50" s="64"/>
      <c r="L50" s="64"/>
      <c r="M50" s="64"/>
      <c r="N50" s="64"/>
      <c r="O50" s="64"/>
      <c r="P50" s="64"/>
      <c r="Q50" s="64"/>
      <c r="R50" s="64"/>
      <c r="S50" s="64"/>
      <c r="T50" s="64"/>
      <c r="U50" s="64"/>
      <c r="V50" s="64"/>
      <c r="W50" s="64"/>
      <c r="X50" s="64"/>
      <c r="Y50" s="64"/>
      <c r="Z50" s="64"/>
    </row>
    <row r="51" spans="1:26" ht="12" customHeight="1" x14ac:dyDescent="0.25">
      <c r="A51" s="65" t="s">
        <v>205</v>
      </c>
      <c r="B51" s="66" t="s">
        <v>203</v>
      </c>
      <c r="C51" s="67" t="s">
        <v>206</v>
      </c>
      <c r="D51" s="68" t="s">
        <v>200</v>
      </c>
      <c r="E51" s="64"/>
      <c r="F51" s="64"/>
      <c r="G51" s="64"/>
      <c r="H51" s="64"/>
      <c r="I51" s="64"/>
      <c r="J51" s="64"/>
      <c r="K51" s="64"/>
      <c r="L51" s="64"/>
      <c r="M51" s="64"/>
      <c r="N51" s="64"/>
      <c r="O51" s="64"/>
      <c r="P51" s="64"/>
      <c r="Q51" s="64"/>
      <c r="R51" s="64"/>
      <c r="S51" s="64"/>
      <c r="T51" s="64"/>
      <c r="U51" s="64"/>
      <c r="V51" s="64"/>
      <c r="W51" s="64"/>
      <c r="X51" s="64"/>
      <c r="Y51" s="64"/>
      <c r="Z51" s="64"/>
    </row>
    <row r="52" spans="1:26" ht="12" customHeight="1" x14ac:dyDescent="0.25">
      <c r="A52" s="68">
        <v>32106</v>
      </c>
      <c r="B52" s="68" t="s">
        <v>207</v>
      </c>
      <c r="C52" s="67" t="s">
        <v>207</v>
      </c>
      <c r="D52" s="68" t="s">
        <v>76</v>
      </c>
      <c r="E52" s="64"/>
      <c r="F52" s="64"/>
      <c r="G52" s="64"/>
      <c r="H52" s="64"/>
      <c r="I52" s="64"/>
      <c r="J52" s="64"/>
      <c r="K52" s="64"/>
      <c r="L52" s="64"/>
      <c r="M52" s="64"/>
      <c r="N52" s="64"/>
      <c r="O52" s="64"/>
      <c r="P52" s="64"/>
      <c r="Q52" s="64"/>
      <c r="R52" s="64"/>
      <c r="S52" s="64"/>
      <c r="T52" s="64"/>
      <c r="U52" s="64"/>
      <c r="V52" s="64"/>
      <c r="W52" s="64"/>
      <c r="X52" s="64"/>
      <c r="Y52" s="64"/>
      <c r="Z52" s="64"/>
    </row>
    <row r="53" spans="1:26" ht="12" customHeight="1" x14ac:dyDescent="0.25">
      <c r="A53" s="68">
        <v>32730</v>
      </c>
      <c r="B53" s="68" t="s">
        <v>208</v>
      </c>
      <c r="C53" s="67" t="s">
        <v>209</v>
      </c>
      <c r="D53" s="68" t="s">
        <v>76</v>
      </c>
      <c r="E53" s="64"/>
      <c r="F53" s="64"/>
      <c r="G53" s="64"/>
      <c r="H53" s="64"/>
      <c r="I53" s="64"/>
      <c r="J53" s="64"/>
      <c r="K53" s="64"/>
      <c r="L53" s="64"/>
      <c r="M53" s="64"/>
      <c r="N53" s="64"/>
      <c r="O53" s="64"/>
      <c r="P53" s="64"/>
      <c r="Q53" s="64"/>
      <c r="R53" s="64"/>
      <c r="S53" s="64"/>
      <c r="T53" s="64"/>
      <c r="U53" s="64"/>
      <c r="V53" s="64"/>
      <c r="W53" s="64"/>
      <c r="X53" s="64"/>
      <c r="Y53" s="64"/>
      <c r="Z53" s="64"/>
    </row>
    <row r="54" spans="1:26" ht="12" customHeight="1" x14ac:dyDescent="0.25">
      <c r="A54" s="65" t="s">
        <v>210</v>
      </c>
      <c r="B54" s="66" t="s">
        <v>211</v>
      </c>
      <c r="C54" s="66"/>
      <c r="D54" s="68" t="s">
        <v>76</v>
      </c>
      <c r="E54" s="64"/>
      <c r="F54" s="64"/>
      <c r="G54" s="64"/>
      <c r="H54" s="64"/>
      <c r="I54" s="64"/>
      <c r="J54" s="64"/>
      <c r="K54" s="64"/>
      <c r="L54" s="64"/>
      <c r="M54" s="64"/>
      <c r="N54" s="64"/>
      <c r="O54" s="64"/>
      <c r="P54" s="64"/>
      <c r="Q54" s="64"/>
      <c r="R54" s="64"/>
      <c r="S54" s="64"/>
      <c r="T54" s="64"/>
      <c r="U54" s="64"/>
      <c r="V54" s="64"/>
      <c r="W54" s="64"/>
      <c r="X54" s="64"/>
      <c r="Y54" s="64"/>
      <c r="Z54" s="64"/>
    </row>
    <row r="55" spans="1:26" ht="12" customHeight="1" x14ac:dyDescent="0.25">
      <c r="A55" s="68">
        <v>34469</v>
      </c>
      <c r="B55" s="68" t="s">
        <v>212</v>
      </c>
      <c r="C55" s="67" t="s">
        <v>212</v>
      </c>
      <c r="D55" s="68" t="s">
        <v>72</v>
      </c>
      <c r="E55" s="64"/>
      <c r="F55" s="64"/>
      <c r="G55" s="64"/>
      <c r="H55" s="64"/>
      <c r="I55" s="64"/>
      <c r="J55" s="64"/>
      <c r="K55" s="64"/>
      <c r="L55" s="64"/>
      <c r="M55" s="64"/>
      <c r="N55" s="64"/>
      <c r="O55" s="64"/>
      <c r="P55" s="64"/>
      <c r="Q55" s="64"/>
      <c r="R55" s="64"/>
      <c r="S55" s="64"/>
      <c r="T55" s="64"/>
      <c r="U55" s="64"/>
      <c r="V55" s="64"/>
      <c r="W55" s="64"/>
      <c r="X55" s="64"/>
      <c r="Y55" s="64"/>
      <c r="Z55" s="64"/>
    </row>
    <row r="56" spans="1:26" ht="12" customHeight="1" x14ac:dyDescent="0.25">
      <c r="A56" s="68">
        <v>34694</v>
      </c>
      <c r="B56" s="68" t="s">
        <v>213</v>
      </c>
      <c r="C56" s="67" t="s">
        <v>214</v>
      </c>
      <c r="D56" s="68" t="s">
        <v>76</v>
      </c>
      <c r="E56" s="64"/>
      <c r="F56" s="64"/>
      <c r="G56" s="64"/>
      <c r="H56" s="64"/>
      <c r="I56" s="64"/>
      <c r="J56" s="64"/>
      <c r="K56" s="64"/>
      <c r="L56" s="64"/>
      <c r="M56" s="64"/>
      <c r="N56" s="64"/>
      <c r="O56" s="64"/>
      <c r="P56" s="64"/>
      <c r="Q56" s="64"/>
      <c r="R56" s="64"/>
      <c r="S56" s="64"/>
      <c r="T56" s="64"/>
      <c r="U56" s="64"/>
      <c r="V56" s="64"/>
      <c r="W56" s="64"/>
      <c r="X56" s="64"/>
      <c r="Y56" s="64"/>
      <c r="Z56" s="64"/>
    </row>
    <row r="57" spans="1:26" ht="12" customHeight="1" x14ac:dyDescent="0.25">
      <c r="A57" s="68">
        <v>38260</v>
      </c>
      <c r="B57" s="68" t="s">
        <v>215</v>
      </c>
      <c r="C57" s="67" t="s">
        <v>216</v>
      </c>
      <c r="D57" s="68" t="s">
        <v>76</v>
      </c>
      <c r="E57" s="64"/>
      <c r="F57" s="64"/>
      <c r="G57" s="64"/>
      <c r="H57" s="64"/>
      <c r="I57" s="64"/>
      <c r="J57" s="64"/>
      <c r="K57" s="64"/>
      <c r="L57" s="64"/>
      <c r="M57" s="64"/>
      <c r="N57" s="64"/>
      <c r="O57" s="64"/>
      <c r="P57" s="64"/>
      <c r="Q57" s="64"/>
      <c r="R57" s="64"/>
      <c r="S57" s="64"/>
      <c r="T57" s="64"/>
      <c r="U57" s="64"/>
      <c r="V57" s="64"/>
      <c r="W57" s="64"/>
      <c r="X57" s="64"/>
      <c r="Y57" s="64"/>
      <c r="Z57" s="64"/>
    </row>
    <row r="58" spans="1:26" ht="12" customHeight="1" x14ac:dyDescent="0.25">
      <c r="A58" s="68">
        <v>50050</v>
      </c>
      <c r="B58" s="68" t="s">
        <v>12</v>
      </c>
      <c r="C58" s="67" t="s">
        <v>217</v>
      </c>
      <c r="D58" s="68" t="s">
        <v>15</v>
      </c>
      <c r="E58" s="64"/>
      <c r="F58" s="64"/>
      <c r="G58" s="64"/>
      <c r="H58" s="64"/>
      <c r="I58" s="64"/>
      <c r="J58" s="64"/>
      <c r="K58" s="64"/>
      <c r="L58" s="64"/>
      <c r="M58" s="64"/>
      <c r="N58" s="64"/>
      <c r="O58" s="64"/>
      <c r="P58" s="64"/>
      <c r="Q58" s="64"/>
      <c r="R58" s="64"/>
      <c r="S58" s="64"/>
      <c r="T58" s="64"/>
      <c r="U58" s="64"/>
      <c r="V58" s="64"/>
      <c r="W58" s="64"/>
      <c r="X58" s="64"/>
      <c r="Y58" s="64"/>
      <c r="Z58" s="64"/>
    </row>
    <row r="59" spans="1:26" ht="12" customHeight="1" x14ac:dyDescent="0.25">
      <c r="A59" s="65" t="s">
        <v>218</v>
      </c>
      <c r="B59" s="69" t="s">
        <v>219</v>
      </c>
      <c r="C59" s="67" t="s">
        <v>220</v>
      </c>
      <c r="D59" s="68" t="s">
        <v>76</v>
      </c>
      <c r="E59" s="64"/>
      <c r="F59" s="64"/>
      <c r="G59" s="64"/>
      <c r="H59" s="64"/>
      <c r="I59" s="64"/>
      <c r="J59" s="64"/>
      <c r="K59" s="64"/>
      <c r="L59" s="64"/>
      <c r="M59" s="64"/>
      <c r="N59" s="64"/>
      <c r="O59" s="64"/>
      <c r="P59" s="64"/>
      <c r="Q59" s="64"/>
      <c r="R59" s="64"/>
      <c r="S59" s="64"/>
      <c r="T59" s="64"/>
      <c r="U59" s="64"/>
      <c r="V59" s="64"/>
      <c r="W59" s="64"/>
      <c r="X59" s="64"/>
      <c r="Y59" s="64"/>
      <c r="Z59" s="64"/>
    </row>
    <row r="60" spans="1:26" ht="12" customHeight="1" x14ac:dyDescent="0.25">
      <c r="A60" s="68">
        <v>70295</v>
      </c>
      <c r="B60" s="68" t="s">
        <v>221</v>
      </c>
      <c r="C60" s="67" t="s">
        <v>222</v>
      </c>
      <c r="D60" s="68" t="s">
        <v>76</v>
      </c>
      <c r="E60" s="64"/>
      <c r="F60" s="64"/>
      <c r="G60" s="64"/>
      <c r="H60" s="64"/>
      <c r="I60" s="64"/>
      <c r="J60" s="64"/>
      <c r="K60" s="64"/>
      <c r="L60" s="64"/>
      <c r="M60" s="64"/>
      <c r="N60" s="64"/>
      <c r="O60" s="64"/>
      <c r="P60" s="64"/>
      <c r="Q60" s="64"/>
      <c r="R60" s="64"/>
      <c r="S60" s="64"/>
      <c r="T60" s="64"/>
      <c r="U60" s="64"/>
      <c r="V60" s="64"/>
      <c r="W60" s="64"/>
      <c r="X60" s="64"/>
      <c r="Y60" s="64"/>
      <c r="Z60" s="64"/>
    </row>
    <row r="61" spans="1:26" ht="12" customHeight="1" x14ac:dyDescent="0.25">
      <c r="A61" s="68">
        <v>70300</v>
      </c>
      <c r="B61" s="66" t="s">
        <v>221</v>
      </c>
      <c r="C61" s="67" t="s">
        <v>223</v>
      </c>
      <c r="D61" s="68" t="s">
        <v>76</v>
      </c>
      <c r="E61" s="64"/>
      <c r="F61" s="64"/>
      <c r="G61" s="64"/>
      <c r="H61" s="64"/>
      <c r="I61" s="64"/>
      <c r="J61" s="64"/>
      <c r="K61" s="64"/>
      <c r="L61" s="64"/>
      <c r="M61" s="64"/>
      <c r="N61" s="64"/>
      <c r="O61" s="64"/>
      <c r="P61" s="64"/>
      <c r="Q61" s="64"/>
      <c r="R61" s="64"/>
      <c r="S61" s="64"/>
      <c r="T61" s="64"/>
      <c r="U61" s="64"/>
      <c r="V61" s="64"/>
      <c r="W61" s="64"/>
      <c r="X61" s="64"/>
      <c r="Y61" s="64"/>
      <c r="Z61" s="64"/>
    </row>
    <row r="62" spans="1:26" ht="12" customHeight="1" x14ac:dyDescent="0.25">
      <c r="A62" s="68">
        <v>70318</v>
      </c>
      <c r="B62" s="68" t="s">
        <v>224</v>
      </c>
      <c r="C62" s="67" t="s">
        <v>225</v>
      </c>
      <c r="D62" s="68" t="s">
        <v>226</v>
      </c>
      <c r="E62" s="64"/>
      <c r="F62" s="64"/>
      <c r="G62" s="64"/>
      <c r="H62" s="64"/>
      <c r="I62" s="64"/>
      <c r="J62" s="64"/>
      <c r="K62" s="64"/>
      <c r="L62" s="64"/>
      <c r="M62" s="64"/>
      <c r="N62" s="64"/>
      <c r="O62" s="64"/>
      <c r="P62" s="64"/>
      <c r="Q62" s="64"/>
      <c r="R62" s="64"/>
      <c r="S62" s="64"/>
      <c r="T62" s="64"/>
      <c r="U62" s="64"/>
      <c r="V62" s="64"/>
      <c r="W62" s="64"/>
      <c r="X62" s="64"/>
      <c r="Y62" s="64"/>
      <c r="Z62" s="64"/>
    </row>
    <row r="63" spans="1:26" ht="12" customHeight="1" x14ac:dyDescent="0.25">
      <c r="A63" s="68">
        <v>71880</v>
      </c>
      <c r="B63" s="68" t="s">
        <v>227</v>
      </c>
      <c r="C63" s="67" t="s">
        <v>227</v>
      </c>
      <c r="D63" s="68" t="s">
        <v>76</v>
      </c>
      <c r="E63" s="64"/>
      <c r="F63" s="64"/>
      <c r="G63" s="64"/>
      <c r="H63" s="64"/>
      <c r="I63" s="64"/>
      <c r="J63" s="64"/>
      <c r="K63" s="64"/>
      <c r="L63" s="64"/>
      <c r="M63" s="64"/>
      <c r="N63" s="64"/>
      <c r="O63" s="64"/>
      <c r="P63" s="64"/>
      <c r="Q63" s="64"/>
      <c r="R63" s="64"/>
      <c r="S63" s="64"/>
      <c r="T63" s="64"/>
      <c r="U63" s="64"/>
      <c r="V63" s="64"/>
      <c r="W63" s="64"/>
      <c r="X63" s="64"/>
      <c r="Y63" s="64"/>
      <c r="Z63" s="64"/>
    </row>
    <row r="64" spans="1:26" ht="12" customHeight="1" x14ac:dyDescent="0.25">
      <c r="A64" s="65" t="s">
        <v>228</v>
      </c>
      <c r="B64" s="66" t="s">
        <v>229</v>
      </c>
      <c r="C64" s="67" t="s">
        <v>230</v>
      </c>
      <c r="D64" s="68" t="s">
        <v>76</v>
      </c>
      <c r="E64" s="64"/>
      <c r="F64" s="64"/>
      <c r="G64" s="64"/>
      <c r="H64" s="64"/>
      <c r="I64" s="64"/>
      <c r="J64" s="64"/>
      <c r="K64" s="64"/>
      <c r="L64" s="64"/>
      <c r="M64" s="64"/>
      <c r="N64" s="64"/>
      <c r="O64" s="64"/>
      <c r="P64" s="64"/>
      <c r="Q64" s="64"/>
      <c r="R64" s="64"/>
      <c r="S64" s="64"/>
      <c r="T64" s="64"/>
      <c r="U64" s="64"/>
      <c r="V64" s="64"/>
      <c r="W64" s="64"/>
      <c r="X64" s="64"/>
      <c r="Y64" s="64"/>
      <c r="Z64" s="64"/>
    </row>
    <row r="65" spans="1:26" ht="12" customHeight="1" x14ac:dyDescent="0.25">
      <c r="A65" s="68">
        <v>78732</v>
      </c>
      <c r="B65" s="68" t="s">
        <v>231</v>
      </c>
      <c r="C65" s="67" t="s">
        <v>232</v>
      </c>
      <c r="D65" s="68" t="s">
        <v>233</v>
      </c>
      <c r="E65" s="64"/>
      <c r="F65" s="64"/>
      <c r="G65" s="64"/>
      <c r="H65" s="64"/>
      <c r="I65" s="64"/>
      <c r="J65" s="64"/>
      <c r="K65" s="64"/>
      <c r="L65" s="64"/>
      <c r="M65" s="64"/>
      <c r="N65" s="64"/>
      <c r="O65" s="64"/>
      <c r="P65" s="64"/>
      <c r="Q65" s="64"/>
      <c r="R65" s="64"/>
      <c r="S65" s="64"/>
      <c r="T65" s="64"/>
      <c r="U65" s="64"/>
      <c r="V65" s="64"/>
      <c r="W65" s="64"/>
      <c r="X65" s="64"/>
      <c r="Y65" s="64"/>
      <c r="Z65" s="64"/>
    </row>
    <row r="66" spans="1:26" ht="12" customHeight="1" x14ac:dyDescent="0.25">
      <c r="A66" s="68">
        <v>80082</v>
      </c>
      <c r="B66" s="68" t="s">
        <v>234</v>
      </c>
      <c r="C66" s="67" t="s">
        <v>235</v>
      </c>
      <c r="D66" s="68" t="s">
        <v>76</v>
      </c>
      <c r="E66" s="64"/>
      <c r="F66" s="64"/>
      <c r="G66" s="64"/>
      <c r="H66" s="64"/>
      <c r="I66" s="64"/>
      <c r="J66" s="64"/>
      <c r="K66" s="64"/>
      <c r="L66" s="64"/>
      <c r="M66" s="64"/>
      <c r="N66" s="64"/>
      <c r="O66" s="64"/>
      <c r="P66" s="64"/>
      <c r="Q66" s="64"/>
      <c r="R66" s="64"/>
      <c r="S66" s="64"/>
      <c r="T66" s="64"/>
      <c r="U66" s="64"/>
      <c r="V66" s="64"/>
      <c r="W66" s="64"/>
      <c r="X66" s="64"/>
      <c r="Y66" s="64"/>
      <c r="Z66" s="64"/>
    </row>
    <row r="67" spans="1:26" ht="12" customHeight="1" x14ac:dyDescent="0.25">
      <c r="A67" s="68">
        <v>81639</v>
      </c>
      <c r="B67" s="68" t="s">
        <v>113</v>
      </c>
      <c r="C67" s="67" t="s">
        <v>236</v>
      </c>
      <c r="D67" s="68" t="s">
        <v>237</v>
      </c>
      <c r="E67" s="64"/>
      <c r="F67" s="64"/>
      <c r="G67" s="64"/>
      <c r="H67" s="64"/>
      <c r="I67" s="64"/>
      <c r="J67" s="64"/>
      <c r="K67" s="64"/>
      <c r="L67" s="64"/>
      <c r="M67" s="64"/>
      <c r="N67" s="64"/>
      <c r="O67" s="64"/>
      <c r="P67" s="64"/>
      <c r="Q67" s="64"/>
      <c r="R67" s="64"/>
      <c r="S67" s="64"/>
      <c r="T67" s="64"/>
      <c r="U67" s="64"/>
      <c r="V67" s="64"/>
      <c r="W67" s="64"/>
      <c r="X67" s="64"/>
      <c r="Y67" s="64"/>
      <c r="Z67" s="64"/>
    </row>
    <row r="68" spans="1:26" ht="12" customHeight="1" x14ac:dyDescent="0.25">
      <c r="A68" s="68">
        <v>81688</v>
      </c>
      <c r="B68" s="68" t="s">
        <v>238</v>
      </c>
      <c r="C68" s="67" t="s">
        <v>239</v>
      </c>
      <c r="D68" s="68" t="s">
        <v>72</v>
      </c>
      <c r="E68" s="64"/>
      <c r="F68" s="64"/>
      <c r="G68" s="64"/>
      <c r="H68" s="64"/>
      <c r="I68" s="64"/>
      <c r="J68" s="64"/>
      <c r="K68" s="64"/>
      <c r="L68" s="64"/>
      <c r="M68" s="64"/>
      <c r="N68" s="64"/>
      <c r="O68" s="64"/>
      <c r="P68" s="64"/>
      <c r="Q68" s="64"/>
      <c r="R68" s="64"/>
      <c r="S68" s="64"/>
      <c r="T68" s="64"/>
      <c r="U68" s="64"/>
      <c r="V68" s="64"/>
      <c r="W68" s="64"/>
      <c r="X68" s="64"/>
      <c r="Y68" s="64"/>
      <c r="Z68" s="64"/>
    </row>
    <row r="69" spans="1:26" ht="12" customHeight="1" x14ac:dyDescent="0.25">
      <c r="A69" s="68">
        <v>82385</v>
      </c>
      <c r="B69" s="68" t="s">
        <v>240</v>
      </c>
      <c r="C69" s="67" t="s">
        <v>241</v>
      </c>
      <c r="D69" s="68" t="s">
        <v>76</v>
      </c>
      <c r="E69" s="64"/>
      <c r="F69" s="64"/>
      <c r="G69" s="64"/>
      <c r="H69" s="64"/>
      <c r="I69" s="64"/>
      <c r="J69" s="64"/>
      <c r="K69" s="64"/>
      <c r="L69" s="64"/>
      <c r="M69" s="64"/>
      <c r="N69" s="64"/>
      <c r="O69" s="64"/>
      <c r="P69" s="64"/>
      <c r="Q69" s="64"/>
      <c r="R69" s="64"/>
      <c r="S69" s="64"/>
      <c r="T69" s="64"/>
      <c r="U69" s="64"/>
      <c r="V69" s="64"/>
      <c r="W69" s="64"/>
      <c r="X69" s="64"/>
      <c r="Y69" s="64"/>
      <c r="Z69" s="64"/>
    </row>
    <row r="70" spans="1:26" ht="12" customHeight="1" x14ac:dyDescent="0.25">
      <c r="A70" s="68">
        <v>82546</v>
      </c>
      <c r="B70" s="68" t="s">
        <v>242</v>
      </c>
      <c r="C70" s="67" t="s">
        <v>243</v>
      </c>
      <c r="D70" s="68" t="s">
        <v>244</v>
      </c>
      <c r="E70" s="64"/>
      <c r="F70" s="64"/>
      <c r="G70" s="64"/>
      <c r="H70" s="64"/>
      <c r="I70" s="64"/>
      <c r="J70" s="64"/>
      <c r="K70" s="64"/>
      <c r="L70" s="64"/>
      <c r="M70" s="64"/>
      <c r="N70" s="64"/>
      <c r="O70" s="64"/>
      <c r="P70" s="64"/>
      <c r="Q70" s="64"/>
      <c r="R70" s="64"/>
      <c r="S70" s="64"/>
      <c r="T70" s="64"/>
      <c r="U70" s="64"/>
      <c r="V70" s="64"/>
      <c r="W70" s="64"/>
      <c r="X70" s="64"/>
      <c r="Y70" s="64"/>
      <c r="Z70" s="64"/>
    </row>
    <row r="71" spans="1:26" ht="12" customHeight="1" x14ac:dyDescent="0.25">
      <c r="A71" s="68" t="s">
        <v>245</v>
      </c>
      <c r="B71" s="68" t="s">
        <v>246</v>
      </c>
      <c r="C71" s="67" t="s">
        <v>247</v>
      </c>
      <c r="D71" s="68" t="s">
        <v>76</v>
      </c>
      <c r="E71" s="64"/>
      <c r="F71" s="64"/>
      <c r="G71" s="64"/>
      <c r="H71" s="64"/>
      <c r="I71" s="64"/>
      <c r="J71" s="64"/>
      <c r="K71" s="64"/>
      <c r="L71" s="64"/>
      <c r="M71" s="64"/>
      <c r="N71" s="64"/>
      <c r="O71" s="64"/>
      <c r="P71" s="64"/>
      <c r="Q71" s="64"/>
      <c r="R71" s="64"/>
      <c r="S71" s="64"/>
      <c r="T71" s="64"/>
      <c r="U71" s="64"/>
      <c r="V71" s="64"/>
      <c r="W71" s="64"/>
      <c r="X71" s="64"/>
      <c r="Y71" s="64"/>
      <c r="Z71" s="64"/>
    </row>
    <row r="72" spans="1:26" ht="12" customHeight="1" x14ac:dyDescent="0.25">
      <c r="A72" s="68" t="s">
        <v>248</v>
      </c>
      <c r="B72" s="68" t="s">
        <v>249</v>
      </c>
      <c r="C72" s="67" t="s">
        <v>250</v>
      </c>
      <c r="D72" s="68" t="s">
        <v>76</v>
      </c>
      <c r="E72" s="64"/>
      <c r="F72" s="64"/>
      <c r="G72" s="64"/>
      <c r="H72" s="64"/>
      <c r="I72" s="64"/>
      <c r="J72" s="64"/>
      <c r="K72" s="64"/>
      <c r="L72" s="64"/>
      <c r="M72" s="64"/>
      <c r="N72" s="64"/>
      <c r="O72" s="64"/>
      <c r="P72" s="64"/>
      <c r="Q72" s="64"/>
      <c r="R72" s="64"/>
      <c r="S72" s="64"/>
      <c r="T72" s="64"/>
      <c r="U72" s="64"/>
      <c r="V72" s="64"/>
      <c r="W72" s="64"/>
      <c r="X72" s="64"/>
      <c r="Y72" s="64"/>
      <c r="Z72" s="64"/>
    </row>
    <row r="73" spans="1:26" ht="12" customHeight="1" x14ac:dyDescent="0.25">
      <c r="A73" s="68" t="s">
        <v>251</v>
      </c>
      <c r="B73" s="68" t="s">
        <v>252</v>
      </c>
      <c r="C73" s="67" t="s">
        <v>253</v>
      </c>
      <c r="D73" s="68" t="s">
        <v>76</v>
      </c>
      <c r="E73" s="64"/>
      <c r="F73" s="64"/>
      <c r="G73" s="64"/>
      <c r="H73" s="64"/>
      <c r="I73" s="64"/>
      <c r="J73" s="64"/>
      <c r="K73" s="64"/>
      <c r="L73" s="64"/>
      <c r="M73" s="64"/>
      <c r="N73" s="64"/>
      <c r="O73" s="64"/>
      <c r="P73" s="64"/>
      <c r="Q73" s="64"/>
      <c r="R73" s="64"/>
      <c r="S73" s="64"/>
      <c r="T73" s="64"/>
      <c r="U73" s="64"/>
      <c r="V73" s="64"/>
      <c r="W73" s="64"/>
      <c r="X73" s="64"/>
      <c r="Y73" s="64"/>
      <c r="Z73" s="64"/>
    </row>
    <row r="74" spans="1:26" ht="12" customHeight="1" x14ac:dyDescent="0.25">
      <c r="A74" s="68" t="s">
        <v>254</v>
      </c>
      <c r="B74" s="68" t="s">
        <v>255</v>
      </c>
      <c r="C74" s="67" t="s">
        <v>256</v>
      </c>
      <c r="D74" s="68" t="s">
        <v>76</v>
      </c>
      <c r="E74" s="64"/>
      <c r="F74" s="64"/>
      <c r="G74" s="64"/>
      <c r="H74" s="64"/>
      <c r="I74" s="64"/>
      <c r="J74" s="64"/>
      <c r="K74" s="64"/>
      <c r="L74" s="64"/>
      <c r="M74" s="64"/>
      <c r="N74" s="64"/>
      <c r="O74" s="64"/>
      <c r="P74" s="64"/>
      <c r="Q74" s="64"/>
      <c r="R74" s="64"/>
      <c r="S74" s="64"/>
      <c r="T74" s="64"/>
      <c r="U74" s="64"/>
      <c r="V74" s="64"/>
      <c r="W74" s="64"/>
      <c r="X74" s="64"/>
      <c r="Y74" s="64"/>
      <c r="Z74" s="64"/>
    </row>
    <row r="75" spans="1:26" ht="12" customHeight="1" x14ac:dyDescent="0.25">
      <c r="A75" s="68" t="s">
        <v>257</v>
      </c>
      <c r="B75" s="68" t="s">
        <v>258</v>
      </c>
      <c r="C75" s="67" t="s">
        <v>259</v>
      </c>
      <c r="D75" s="68" t="s">
        <v>76</v>
      </c>
      <c r="E75" s="64"/>
      <c r="F75" s="64"/>
      <c r="G75" s="64"/>
      <c r="H75" s="64"/>
      <c r="I75" s="64"/>
      <c r="J75" s="64"/>
      <c r="K75" s="64"/>
      <c r="L75" s="64"/>
      <c r="M75" s="64"/>
      <c r="N75" s="64"/>
      <c r="O75" s="64"/>
      <c r="P75" s="64"/>
      <c r="Q75" s="64"/>
      <c r="R75" s="64"/>
      <c r="S75" s="64"/>
      <c r="T75" s="64"/>
      <c r="U75" s="64"/>
      <c r="V75" s="64"/>
      <c r="W75" s="64"/>
      <c r="X75" s="64"/>
      <c r="Y75" s="64"/>
      <c r="Z75" s="64"/>
    </row>
    <row r="76" spans="1:26" ht="12" customHeight="1" x14ac:dyDescent="0.25">
      <c r="A76" s="65" t="s">
        <v>260</v>
      </c>
      <c r="B76" s="68" t="s">
        <v>261</v>
      </c>
      <c r="C76" s="67" t="s">
        <v>262</v>
      </c>
      <c r="D76" s="68" t="s">
        <v>76</v>
      </c>
      <c r="E76" s="64"/>
      <c r="F76" s="64"/>
      <c r="G76" s="64"/>
      <c r="H76" s="64"/>
      <c r="I76" s="64"/>
      <c r="J76" s="64"/>
      <c r="K76" s="64"/>
      <c r="L76" s="64"/>
      <c r="M76" s="64"/>
      <c r="N76" s="64"/>
      <c r="O76" s="64"/>
      <c r="P76" s="64"/>
      <c r="Q76" s="64"/>
      <c r="R76" s="64"/>
      <c r="S76" s="64"/>
      <c r="T76" s="64"/>
      <c r="U76" s="64"/>
      <c r="V76" s="64"/>
      <c r="W76" s="64"/>
      <c r="X76" s="64"/>
      <c r="Y76" s="64"/>
      <c r="Z76" s="64"/>
    </row>
    <row r="77" spans="1:26" ht="12" customHeight="1" x14ac:dyDescent="0.25">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spans="1:26" ht="12" customHeight="1" x14ac:dyDescent="0.25">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spans="1:26" ht="12" customHeight="1" x14ac:dyDescent="0.25">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spans="1:26" ht="12" customHeight="1" x14ac:dyDescent="0.25">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spans="1:26" ht="12" customHeight="1" x14ac:dyDescent="0.25">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spans="1:26" ht="12" customHeight="1" x14ac:dyDescent="0.25">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spans="1:26" ht="12" customHeight="1" x14ac:dyDescent="0.25">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spans="1:26" ht="12" customHeight="1" x14ac:dyDescent="0.25">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spans="1:26" ht="12" customHeight="1" x14ac:dyDescent="0.25">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spans="1:26" ht="12" customHeight="1" x14ac:dyDescent="0.25">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spans="1:26" ht="12" customHeight="1" x14ac:dyDescent="0.25">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spans="1:26" ht="12" customHeight="1" x14ac:dyDescent="0.25">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spans="1:26" ht="12" customHeight="1" x14ac:dyDescent="0.25">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spans="1:26" ht="12" customHeight="1" x14ac:dyDescent="0.25">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spans="1:26" ht="12" customHeight="1" x14ac:dyDescent="0.25">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spans="1:26" ht="12" customHeight="1" x14ac:dyDescent="0.25">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spans="1:26" ht="12" customHeight="1" x14ac:dyDescent="0.25">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spans="1:26" ht="12" customHeight="1" x14ac:dyDescent="0.25">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spans="1:26" ht="12" customHeight="1" x14ac:dyDescent="0.25">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spans="1:26" ht="12" customHeight="1" x14ac:dyDescent="0.25">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spans="1:26" ht="12" customHeight="1" x14ac:dyDescent="0.25">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spans="1:26" ht="12" customHeight="1" x14ac:dyDescent="0.25">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spans="1:26" ht="12" customHeight="1" x14ac:dyDescent="0.25">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spans="1:26" ht="12" customHeight="1" x14ac:dyDescent="0.25">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spans="1:26" ht="12" customHeight="1" x14ac:dyDescent="0.25">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spans="1:26" ht="12" customHeight="1" x14ac:dyDescent="0.25">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spans="1:26" ht="12" customHeight="1" x14ac:dyDescent="0.25">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spans="1:26" ht="12" customHeight="1" x14ac:dyDescent="0.25">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spans="1:26" ht="12" customHeight="1" x14ac:dyDescent="0.25">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spans="1:26" ht="12" customHeight="1" x14ac:dyDescent="0.25">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spans="1:26" ht="12" customHeight="1" x14ac:dyDescent="0.25">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spans="1:26" ht="12" customHeight="1" x14ac:dyDescent="0.25">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spans="1:26" ht="12" customHeight="1" x14ac:dyDescent="0.25">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spans="1:26" ht="12" customHeight="1" x14ac:dyDescent="0.25">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spans="1:26" ht="12" customHeight="1" x14ac:dyDescent="0.25">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spans="1:26" ht="12" customHeight="1" x14ac:dyDescent="0.25">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spans="1:26" ht="12" customHeight="1" x14ac:dyDescent="0.25">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spans="1:26" ht="12" customHeight="1" x14ac:dyDescent="0.25">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spans="1:26" ht="12" customHeight="1" x14ac:dyDescent="0.25">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spans="1:26" ht="12" customHeight="1" x14ac:dyDescent="0.25">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spans="1:26" ht="12" customHeight="1" x14ac:dyDescent="0.25">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spans="1:26" ht="12" customHeight="1" x14ac:dyDescent="0.25">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spans="1:26" ht="12" customHeight="1" x14ac:dyDescent="0.25">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spans="1:26" ht="12" customHeight="1" x14ac:dyDescent="0.25">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spans="1:26" ht="12" customHeight="1" x14ac:dyDescent="0.25">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spans="1:26" ht="12" customHeight="1" x14ac:dyDescent="0.25">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spans="1:26" ht="12" customHeight="1" x14ac:dyDescent="0.25">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spans="1:26" ht="12" customHeight="1" x14ac:dyDescent="0.25">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spans="1:26" ht="12" customHeight="1" x14ac:dyDescent="0.25">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spans="1:26" ht="12" customHeight="1" x14ac:dyDescent="0.25">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spans="1:26" ht="12" customHeight="1" x14ac:dyDescent="0.25">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spans="1:26" ht="12" customHeight="1" x14ac:dyDescent="0.25">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spans="1:26" ht="12" customHeight="1" x14ac:dyDescent="0.25">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spans="1:26" ht="12" customHeight="1" x14ac:dyDescent="0.25">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spans="1:26" ht="12" customHeight="1" x14ac:dyDescent="0.25">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spans="1:26" ht="12" customHeight="1" x14ac:dyDescent="0.25">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spans="1:26" ht="12" customHeight="1" x14ac:dyDescent="0.25">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spans="1:26" ht="12" customHeight="1" x14ac:dyDescent="0.25">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spans="1:26" ht="12" customHeight="1" x14ac:dyDescent="0.25">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spans="1:26" ht="12" customHeight="1" x14ac:dyDescent="0.25">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spans="1:26" ht="12" customHeight="1" x14ac:dyDescent="0.25">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spans="1:26" ht="12" customHeight="1" x14ac:dyDescent="0.25">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spans="1:26" ht="12" customHeight="1" x14ac:dyDescent="0.25">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spans="1:26" ht="12" customHeight="1" x14ac:dyDescent="0.25">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spans="1:26" ht="12" customHeight="1" x14ac:dyDescent="0.25">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spans="1:26" ht="12" customHeight="1" x14ac:dyDescent="0.25">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spans="1:26" ht="12" customHeight="1" x14ac:dyDescent="0.25">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spans="1:26" ht="12" customHeight="1" x14ac:dyDescent="0.25">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spans="1:26" ht="12" customHeight="1" x14ac:dyDescent="0.25">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spans="1:26" ht="12" customHeight="1" x14ac:dyDescent="0.25">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spans="1:26" ht="12" customHeight="1" x14ac:dyDescent="0.25">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spans="1:26" ht="12" customHeight="1" x14ac:dyDescent="0.25">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spans="1:26" ht="12" customHeight="1" x14ac:dyDescent="0.25">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spans="1:26" ht="12" customHeight="1" x14ac:dyDescent="0.25">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spans="1:26" ht="12" customHeight="1" x14ac:dyDescent="0.25">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spans="1:26" ht="12" customHeight="1" x14ac:dyDescent="0.25">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spans="1:26" ht="12" customHeight="1" x14ac:dyDescent="0.25">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spans="1:26" ht="12" customHeight="1" x14ac:dyDescent="0.25">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spans="1:26" ht="12" customHeight="1" x14ac:dyDescent="0.25">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spans="1:26" ht="12" customHeight="1" x14ac:dyDescent="0.25">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spans="1:26" ht="12" customHeight="1" x14ac:dyDescent="0.25">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spans="1:26" ht="12" customHeight="1" x14ac:dyDescent="0.25">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spans="1:26" ht="12" customHeight="1" x14ac:dyDescent="0.25">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spans="1:26" ht="12" customHeight="1" x14ac:dyDescent="0.25">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spans="1:26" ht="12" customHeight="1" x14ac:dyDescent="0.25">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spans="1:26" ht="12" customHeight="1" x14ac:dyDescent="0.25">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spans="1:26" ht="12" customHeight="1" x14ac:dyDescent="0.25">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spans="1:26" ht="12" customHeight="1" x14ac:dyDescent="0.25">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spans="1:26" ht="12" customHeight="1" x14ac:dyDescent="0.25">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spans="1:26" ht="12" customHeight="1" x14ac:dyDescent="0.25">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spans="1:26" ht="12" customHeight="1" x14ac:dyDescent="0.25">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spans="1:26" ht="12" customHeight="1" x14ac:dyDescent="0.25">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spans="1:26" ht="12" customHeight="1" x14ac:dyDescent="0.25">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spans="1:26" ht="12" customHeight="1" x14ac:dyDescent="0.25">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spans="1:26" ht="12" customHeight="1" x14ac:dyDescent="0.25">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spans="1:26" ht="12" customHeight="1" x14ac:dyDescent="0.25">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spans="1:26" ht="12" customHeight="1" x14ac:dyDescent="0.25">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spans="1:26" ht="12" customHeight="1" x14ac:dyDescent="0.25">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spans="1:26" ht="12" customHeight="1" x14ac:dyDescent="0.25">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spans="1:26" ht="12" customHeight="1" x14ac:dyDescent="0.25">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spans="1:26" ht="12" customHeight="1" x14ac:dyDescent="0.25">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spans="1:26" ht="12" customHeight="1" x14ac:dyDescent="0.25">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spans="1:26" ht="12" customHeight="1" x14ac:dyDescent="0.25">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spans="1:26" ht="12" customHeight="1" x14ac:dyDescent="0.25">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spans="1:26" ht="12" customHeight="1" x14ac:dyDescent="0.25">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spans="1:26" ht="12" customHeight="1" x14ac:dyDescent="0.25">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spans="1:26" ht="12" customHeight="1" x14ac:dyDescent="0.25">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spans="1:26" ht="12" customHeight="1" x14ac:dyDescent="0.25">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spans="1:26" ht="12" customHeight="1" x14ac:dyDescent="0.25">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spans="1:26" ht="12" customHeight="1" x14ac:dyDescent="0.25">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spans="1:26" ht="12" customHeight="1" x14ac:dyDescent="0.25">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spans="1:26" ht="12" customHeight="1" x14ac:dyDescent="0.25">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spans="1:26" ht="12" customHeight="1" x14ac:dyDescent="0.25">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spans="1:26" ht="12" customHeight="1" x14ac:dyDescent="0.25">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spans="1:26" ht="12" customHeight="1" x14ac:dyDescent="0.25">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spans="1:26" ht="12" customHeight="1" x14ac:dyDescent="0.25">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spans="1:26" ht="12" customHeight="1" x14ac:dyDescent="0.25">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spans="1:26" ht="12" customHeight="1" x14ac:dyDescent="0.25">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spans="1:26" ht="12" customHeight="1" x14ac:dyDescent="0.25">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spans="1:26" ht="12" customHeight="1" x14ac:dyDescent="0.25">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spans="1:26" ht="12" customHeight="1" x14ac:dyDescent="0.25">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spans="1:26" ht="12" customHeight="1" x14ac:dyDescent="0.25">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spans="1:26" ht="12" customHeight="1" x14ac:dyDescent="0.25">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spans="1:26" ht="12" customHeight="1" x14ac:dyDescent="0.25">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spans="1:26" ht="12" customHeight="1" x14ac:dyDescent="0.25">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spans="1:26" ht="12" customHeight="1" x14ac:dyDescent="0.25">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spans="1:26" ht="12" customHeight="1" x14ac:dyDescent="0.25">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spans="1:26" ht="12" customHeight="1" x14ac:dyDescent="0.25">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spans="1:26" ht="12" customHeight="1" x14ac:dyDescent="0.25">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spans="1:26" ht="12" customHeight="1" x14ac:dyDescent="0.25">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spans="1:26" ht="12" customHeight="1" x14ac:dyDescent="0.25">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spans="1:26" ht="12" customHeight="1" x14ac:dyDescent="0.25">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spans="1:26" ht="12" customHeight="1" x14ac:dyDescent="0.25">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spans="1:26" ht="12" customHeight="1" x14ac:dyDescent="0.25">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spans="1:26" ht="12" customHeight="1" x14ac:dyDescent="0.25">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spans="1:26" ht="12" customHeight="1" x14ac:dyDescent="0.25">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spans="1:26" ht="12" customHeight="1" x14ac:dyDescent="0.25">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spans="1:26" ht="12" customHeight="1" x14ac:dyDescent="0.25">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spans="1:26" ht="12" customHeight="1" x14ac:dyDescent="0.25">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spans="1:26" ht="12" customHeight="1" x14ac:dyDescent="0.25">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spans="1:26" ht="12" customHeight="1" x14ac:dyDescent="0.25">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spans="1:26" ht="12" customHeight="1" x14ac:dyDescent="0.25">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spans="1:26" ht="12" customHeight="1" x14ac:dyDescent="0.25">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spans="1:26" ht="12" customHeight="1" x14ac:dyDescent="0.25">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spans="1:26" ht="12" customHeight="1" x14ac:dyDescent="0.25">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spans="1:26" ht="12" customHeight="1" x14ac:dyDescent="0.25">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spans="1:26" ht="12" customHeight="1" x14ac:dyDescent="0.25">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spans="1:26" ht="12" customHeight="1" x14ac:dyDescent="0.25">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spans="1:26" ht="12" customHeight="1" x14ac:dyDescent="0.25">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spans="1:26" ht="12" customHeight="1" x14ac:dyDescent="0.25">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spans="1:26" ht="12" customHeight="1" x14ac:dyDescent="0.25">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spans="1:26" ht="12" customHeight="1" x14ac:dyDescent="0.25">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spans="1:26" ht="12" customHeight="1" x14ac:dyDescent="0.25">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spans="1:26" ht="12" customHeight="1" x14ac:dyDescent="0.25">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spans="1:26" ht="12" customHeight="1" x14ac:dyDescent="0.25">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spans="1:26" ht="12" customHeight="1" x14ac:dyDescent="0.25">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spans="1:26" ht="12" customHeight="1" x14ac:dyDescent="0.25">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spans="1:26" ht="12" customHeight="1" x14ac:dyDescent="0.25">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spans="1:26" ht="12" customHeight="1" x14ac:dyDescent="0.25">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spans="1:26" ht="12" customHeight="1" x14ac:dyDescent="0.25">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spans="1:26" ht="12" customHeight="1" x14ac:dyDescent="0.25">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spans="1:26" ht="12" customHeight="1" x14ac:dyDescent="0.25">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spans="1:26" ht="12" customHeight="1" x14ac:dyDescent="0.25">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spans="1:26" ht="12" customHeight="1" x14ac:dyDescent="0.25">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spans="1:26" ht="12" customHeight="1" x14ac:dyDescent="0.25">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spans="1:26" ht="12" customHeight="1" x14ac:dyDescent="0.25">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spans="1:26" ht="12" customHeight="1" x14ac:dyDescent="0.25">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spans="1:26" ht="12" customHeight="1" x14ac:dyDescent="0.25">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spans="1:26" ht="12" customHeight="1" x14ac:dyDescent="0.25">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spans="1:26" ht="12" customHeight="1" x14ac:dyDescent="0.25">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spans="1:26" ht="12" customHeight="1" x14ac:dyDescent="0.25">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spans="1:26" ht="12" customHeight="1" x14ac:dyDescent="0.25">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spans="1:26" ht="12" customHeight="1" x14ac:dyDescent="0.25">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spans="1:26" ht="12" customHeight="1" x14ac:dyDescent="0.25">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spans="1:26" ht="12" customHeight="1" x14ac:dyDescent="0.25">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spans="1:26" ht="12" customHeight="1" x14ac:dyDescent="0.25">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spans="1:26" ht="12" customHeight="1" x14ac:dyDescent="0.25">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spans="1:26" ht="12" customHeight="1" x14ac:dyDescent="0.25">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spans="1:26" ht="12" customHeight="1" x14ac:dyDescent="0.25">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spans="1:26" ht="12" customHeight="1" x14ac:dyDescent="0.25">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spans="1:26" ht="12" customHeight="1" x14ac:dyDescent="0.25">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spans="1:26" ht="12" customHeight="1" x14ac:dyDescent="0.25">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spans="1:26" ht="12" customHeight="1" x14ac:dyDescent="0.25">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spans="1:26" ht="12" customHeight="1" x14ac:dyDescent="0.25">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spans="1:26" ht="12" customHeight="1" x14ac:dyDescent="0.25">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spans="1:26" ht="12" customHeight="1" x14ac:dyDescent="0.25">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spans="1:26" ht="12" customHeight="1" x14ac:dyDescent="0.25">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spans="1:26" ht="12" customHeight="1" x14ac:dyDescent="0.25">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spans="1:26" ht="12" customHeight="1" x14ac:dyDescent="0.25">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spans="1:26" ht="12" customHeight="1" x14ac:dyDescent="0.25">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spans="1:26" ht="12" customHeight="1" x14ac:dyDescent="0.25">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spans="1:26" ht="12" customHeight="1" x14ac:dyDescent="0.25">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spans="1:26" ht="12" customHeight="1" x14ac:dyDescent="0.25">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spans="1:26" ht="12" customHeight="1" x14ac:dyDescent="0.25">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spans="1:26" ht="12" customHeight="1" x14ac:dyDescent="0.25">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spans="1:26" ht="12" customHeight="1" x14ac:dyDescent="0.25">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spans="1:26" ht="12" customHeight="1" x14ac:dyDescent="0.25">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spans="1:26" ht="12" customHeight="1" x14ac:dyDescent="0.25">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spans="1:26" ht="12" customHeight="1" x14ac:dyDescent="0.25">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spans="1:26" ht="12" customHeight="1" x14ac:dyDescent="0.25">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spans="1:26" ht="12" customHeight="1" x14ac:dyDescent="0.25">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spans="1:26" ht="12" customHeight="1" x14ac:dyDescent="0.25">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spans="1:26" ht="12" customHeight="1" x14ac:dyDescent="0.25">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spans="1:26" ht="12" customHeight="1" x14ac:dyDescent="0.25">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spans="1:26" ht="12" customHeight="1" x14ac:dyDescent="0.25">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spans="1:26" ht="12" customHeight="1" x14ac:dyDescent="0.25">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spans="1:26" ht="12" customHeight="1" x14ac:dyDescent="0.25">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spans="1:26" ht="12" customHeight="1" x14ac:dyDescent="0.25">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spans="1:26" ht="12" customHeight="1" x14ac:dyDescent="0.25">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spans="1:26" ht="12" customHeight="1" x14ac:dyDescent="0.25">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spans="1:26" ht="12" customHeight="1" x14ac:dyDescent="0.25">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spans="1:26" ht="12" customHeight="1" x14ac:dyDescent="0.25">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spans="1:26" ht="12" customHeight="1" x14ac:dyDescent="0.25">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spans="1:26" ht="12" customHeight="1" x14ac:dyDescent="0.25">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spans="1:26" ht="12" customHeight="1" x14ac:dyDescent="0.25">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spans="1:26" ht="12" customHeight="1" x14ac:dyDescent="0.25">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spans="1:26" ht="12" customHeight="1" x14ac:dyDescent="0.25">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spans="1:26" ht="12" customHeight="1" x14ac:dyDescent="0.25">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spans="1:26" ht="12" customHeight="1" x14ac:dyDescent="0.25">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spans="1:26" ht="12" customHeight="1" x14ac:dyDescent="0.25">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spans="1:26" ht="12" customHeight="1" x14ac:dyDescent="0.25">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spans="1:26" ht="12" customHeight="1" x14ac:dyDescent="0.25">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spans="1:26" ht="12" customHeight="1" x14ac:dyDescent="0.25">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spans="1:26" ht="12" customHeight="1" x14ac:dyDescent="0.25">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spans="1:26" ht="12" customHeight="1" x14ac:dyDescent="0.25">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spans="1:26" ht="12" customHeight="1" x14ac:dyDescent="0.25">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spans="1:26" ht="12" customHeight="1" x14ac:dyDescent="0.25">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spans="1:26" ht="12" customHeight="1" x14ac:dyDescent="0.25">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spans="1:26" ht="12" customHeight="1" x14ac:dyDescent="0.25">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spans="1:26" ht="12" customHeight="1" x14ac:dyDescent="0.25">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spans="1:26" ht="12" customHeight="1" x14ac:dyDescent="0.25">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spans="1:26" ht="12" customHeight="1" x14ac:dyDescent="0.25">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spans="1:26" ht="12" customHeight="1" x14ac:dyDescent="0.25">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spans="1:26" ht="12" customHeight="1" x14ac:dyDescent="0.25">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spans="1:26" ht="12" customHeight="1" x14ac:dyDescent="0.25">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spans="1:26" ht="12" customHeight="1" x14ac:dyDescent="0.25">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spans="1:26" ht="12" customHeight="1" x14ac:dyDescent="0.25">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spans="1:26" ht="12" customHeight="1" x14ac:dyDescent="0.25">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spans="1:26" ht="12" customHeight="1" x14ac:dyDescent="0.25">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spans="1:26" ht="12" customHeight="1" x14ac:dyDescent="0.25">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spans="1:26" ht="12" customHeight="1" x14ac:dyDescent="0.25">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spans="1:26" ht="12" customHeight="1" x14ac:dyDescent="0.25">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spans="1:26" ht="12" customHeight="1" x14ac:dyDescent="0.25">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spans="1:26" ht="12" customHeight="1" x14ac:dyDescent="0.25">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spans="1:26" ht="12" customHeight="1" x14ac:dyDescent="0.25">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spans="1:26" ht="12" customHeight="1" x14ac:dyDescent="0.25">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spans="1:26" ht="12" customHeight="1" x14ac:dyDescent="0.25">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spans="1:26" ht="12" customHeight="1" x14ac:dyDescent="0.25">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spans="1:26" ht="12" customHeight="1" x14ac:dyDescent="0.25">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spans="1:26" ht="12" customHeight="1" x14ac:dyDescent="0.25">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spans="1:26" ht="12" customHeight="1" x14ac:dyDescent="0.25">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spans="1:26" ht="12" customHeight="1" x14ac:dyDescent="0.25">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spans="1:26" ht="12" customHeight="1" x14ac:dyDescent="0.25">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spans="1:26" ht="12" customHeight="1" x14ac:dyDescent="0.25">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spans="1:26" ht="12" customHeight="1" x14ac:dyDescent="0.25">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spans="1:26" ht="12" customHeight="1" x14ac:dyDescent="0.25">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spans="1:26" ht="12" customHeight="1" x14ac:dyDescent="0.25">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spans="1:26" ht="12" customHeight="1" x14ac:dyDescent="0.25">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spans="1:26" ht="12" customHeight="1" x14ac:dyDescent="0.25">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spans="1:26" ht="12" customHeight="1" x14ac:dyDescent="0.25">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spans="1:26" ht="12" customHeight="1" x14ac:dyDescent="0.25">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spans="1:26" ht="12" customHeight="1" x14ac:dyDescent="0.25">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spans="1:26" ht="12" customHeight="1" x14ac:dyDescent="0.25">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spans="1:26" ht="12" customHeight="1" x14ac:dyDescent="0.25">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spans="1:26" ht="12" customHeight="1" x14ac:dyDescent="0.25">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spans="1:26" ht="12" customHeight="1" x14ac:dyDescent="0.25">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spans="1:26" ht="12" customHeight="1" x14ac:dyDescent="0.25">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spans="1:26" ht="12" customHeight="1" x14ac:dyDescent="0.25">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spans="1:26" ht="12" customHeight="1" x14ac:dyDescent="0.25">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spans="1:26" ht="12" customHeight="1" x14ac:dyDescent="0.25">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spans="1:26" ht="12" customHeight="1" x14ac:dyDescent="0.25">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spans="1:26" ht="12" customHeight="1" x14ac:dyDescent="0.25">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spans="1:26" ht="12" customHeight="1" x14ac:dyDescent="0.25">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spans="1:26" ht="12" customHeight="1" x14ac:dyDescent="0.25">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spans="1:26" ht="12" customHeight="1" x14ac:dyDescent="0.25">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spans="1:26" ht="12" customHeight="1" x14ac:dyDescent="0.25">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spans="1:26" ht="12" customHeight="1" x14ac:dyDescent="0.25">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spans="1:26" ht="12" customHeight="1" x14ac:dyDescent="0.25">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spans="1:26" ht="12" customHeight="1" x14ac:dyDescent="0.25">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spans="1:26" ht="12" customHeight="1" x14ac:dyDescent="0.25">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spans="1:26" ht="12" customHeight="1" x14ac:dyDescent="0.25">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spans="1:26" ht="12" customHeight="1" x14ac:dyDescent="0.25">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spans="1:26" ht="12" customHeight="1" x14ac:dyDescent="0.25">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spans="1:26" ht="12" customHeight="1" x14ac:dyDescent="0.25">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spans="1:26" ht="12" customHeight="1" x14ac:dyDescent="0.25">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spans="1:26" ht="12" customHeight="1" x14ac:dyDescent="0.25">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spans="1:26" ht="12" customHeight="1" x14ac:dyDescent="0.25">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spans="1:26" ht="12" customHeight="1" x14ac:dyDescent="0.25">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spans="1:26" ht="12" customHeight="1" x14ac:dyDescent="0.25">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spans="1:26" ht="12" customHeight="1" x14ac:dyDescent="0.25">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spans="1:26" ht="12" customHeight="1" x14ac:dyDescent="0.25">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spans="1:26" ht="12" customHeight="1" x14ac:dyDescent="0.25">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spans="1:26" ht="12" customHeight="1" x14ac:dyDescent="0.25">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spans="1:26" ht="12" customHeight="1" x14ac:dyDescent="0.25">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spans="1:26" ht="12" customHeight="1" x14ac:dyDescent="0.25">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spans="1:26" ht="12" customHeight="1" x14ac:dyDescent="0.25">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spans="1:26" ht="12" customHeight="1" x14ac:dyDescent="0.25">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spans="1:26" ht="12" customHeight="1" x14ac:dyDescent="0.25">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spans="1:26" ht="12" customHeight="1" x14ac:dyDescent="0.25">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spans="1:26" ht="12" customHeight="1" x14ac:dyDescent="0.25">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spans="1:26" ht="12" customHeight="1" x14ac:dyDescent="0.25">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spans="1:26" ht="12" customHeight="1" x14ac:dyDescent="0.25">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spans="1:26" ht="12" customHeight="1" x14ac:dyDescent="0.25">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spans="1:26" ht="12" customHeight="1" x14ac:dyDescent="0.25">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spans="1:26" ht="12" customHeight="1" x14ac:dyDescent="0.25">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spans="1:26" ht="12" customHeight="1" x14ac:dyDescent="0.25">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spans="1:26" ht="12" customHeight="1" x14ac:dyDescent="0.25">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spans="1:26" ht="12" customHeight="1" x14ac:dyDescent="0.25">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spans="1:26" ht="12" customHeight="1" x14ac:dyDescent="0.25">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spans="1:26" ht="12" customHeight="1" x14ac:dyDescent="0.25">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spans="1:26" ht="12" customHeight="1" x14ac:dyDescent="0.25">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spans="1:26" ht="12" customHeight="1" x14ac:dyDescent="0.25">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spans="1:26" ht="12" customHeight="1" x14ac:dyDescent="0.25">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spans="1:26" ht="12" customHeight="1" x14ac:dyDescent="0.25">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spans="1:26" ht="12" customHeight="1" x14ac:dyDescent="0.25">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spans="1:26" ht="12" customHeight="1" x14ac:dyDescent="0.25">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spans="1:26" ht="12" customHeight="1" x14ac:dyDescent="0.25">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spans="1:26" ht="12" customHeight="1" x14ac:dyDescent="0.25">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spans="1:26" ht="12" customHeight="1" x14ac:dyDescent="0.25">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spans="1:26" ht="12" customHeight="1" x14ac:dyDescent="0.25">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spans="1:26" ht="12" customHeight="1" x14ac:dyDescent="0.25">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spans="1:26" ht="12" customHeight="1" x14ac:dyDescent="0.25">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spans="1:26" ht="12" customHeight="1" x14ac:dyDescent="0.25">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spans="1:26" ht="12" customHeight="1" x14ac:dyDescent="0.25">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spans="1:26" ht="12" customHeight="1" x14ac:dyDescent="0.25">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spans="1:26" ht="12" customHeight="1" x14ac:dyDescent="0.25">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spans="1:26" ht="12" customHeight="1" x14ac:dyDescent="0.25">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spans="1:26" ht="12" customHeight="1" x14ac:dyDescent="0.25">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spans="1:26" ht="12" customHeight="1" x14ac:dyDescent="0.25">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spans="1:26" ht="12" customHeight="1" x14ac:dyDescent="0.25">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spans="1:26" ht="12" customHeight="1" x14ac:dyDescent="0.25">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spans="1:26" ht="12" customHeight="1" x14ac:dyDescent="0.25">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spans="1:26" ht="12" customHeight="1" x14ac:dyDescent="0.25">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spans="1:26" ht="12" customHeight="1" x14ac:dyDescent="0.25">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spans="1:26" ht="12" customHeight="1" x14ac:dyDescent="0.25">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spans="1:26" ht="12" customHeight="1" x14ac:dyDescent="0.25">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spans="1:26" ht="12" customHeight="1" x14ac:dyDescent="0.25">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spans="1:26" ht="12" customHeight="1" x14ac:dyDescent="0.25">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spans="1:26" ht="12" customHeight="1" x14ac:dyDescent="0.25">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spans="1:26" ht="12" customHeight="1" x14ac:dyDescent="0.25">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spans="1:26" ht="12" customHeight="1" x14ac:dyDescent="0.25">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spans="1:26" ht="12" customHeight="1" x14ac:dyDescent="0.25">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spans="1:26" ht="12" customHeight="1" x14ac:dyDescent="0.25">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spans="1:26" ht="12" customHeight="1" x14ac:dyDescent="0.25">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spans="1:26" ht="12" customHeight="1" x14ac:dyDescent="0.25">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spans="1:26" ht="12" customHeight="1" x14ac:dyDescent="0.25">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spans="1:26" ht="12" customHeight="1" x14ac:dyDescent="0.25">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spans="1:26" ht="12" customHeight="1" x14ac:dyDescent="0.25">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spans="1:26" ht="12" customHeight="1" x14ac:dyDescent="0.25">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spans="1:26" ht="12" customHeight="1" x14ac:dyDescent="0.25">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spans="1:26" ht="12" customHeight="1" x14ac:dyDescent="0.25">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spans="1:26" ht="12" customHeight="1" x14ac:dyDescent="0.25">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spans="1:26" ht="12" customHeight="1" x14ac:dyDescent="0.25">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spans="1:26" ht="12" customHeight="1" x14ac:dyDescent="0.25">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spans="1:26" ht="12" customHeight="1" x14ac:dyDescent="0.25">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spans="1:26" ht="12" customHeight="1" x14ac:dyDescent="0.25">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spans="1:26" ht="12" customHeight="1" x14ac:dyDescent="0.25">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spans="1:26" ht="12" customHeight="1" x14ac:dyDescent="0.25">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spans="1:26" ht="12" customHeight="1" x14ac:dyDescent="0.25">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spans="1:26" ht="12" customHeight="1" x14ac:dyDescent="0.25">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spans="1:26" ht="12" customHeight="1" x14ac:dyDescent="0.25">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spans="1:26" ht="12" customHeight="1" x14ac:dyDescent="0.25">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spans="1:26" ht="12" customHeight="1" x14ac:dyDescent="0.25">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spans="1:26" ht="12" customHeight="1" x14ac:dyDescent="0.25">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spans="1:26" ht="12" customHeight="1" x14ac:dyDescent="0.25">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spans="1:26" ht="12" customHeight="1" x14ac:dyDescent="0.25">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spans="1:26" ht="12" customHeight="1" x14ac:dyDescent="0.25">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spans="1:26" ht="12" customHeight="1" x14ac:dyDescent="0.25">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spans="1:26" ht="12" customHeight="1" x14ac:dyDescent="0.25">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spans="1:26" ht="12" customHeight="1" x14ac:dyDescent="0.25">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spans="1:26" ht="12" customHeight="1" x14ac:dyDescent="0.25">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spans="1:26" ht="12" customHeight="1" x14ac:dyDescent="0.25">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spans="1:26" ht="12" customHeight="1" x14ac:dyDescent="0.25">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spans="1:26" ht="12" customHeight="1" x14ac:dyDescent="0.25">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spans="1:26" ht="12" customHeight="1" x14ac:dyDescent="0.25">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spans="1:26" ht="12" customHeight="1" x14ac:dyDescent="0.25">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spans="1:26" ht="12" customHeight="1" x14ac:dyDescent="0.25">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spans="1:26" ht="12" customHeight="1" x14ac:dyDescent="0.25">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spans="1:26" ht="12" customHeight="1" x14ac:dyDescent="0.25">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spans="1:26" ht="12" customHeight="1" x14ac:dyDescent="0.25">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spans="1:26" ht="12" customHeight="1" x14ac:dyDescent="0.25">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spans="1:26" ht="12" customHeight="1" x14ac:dyDescent="0.25">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spans="1:26" ht="12" customHeight="1" x14ac:dyDescent="0.25">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spans="1:26" ht="12" customHeight="1" x14ac:dyDescent="0.25">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spans="1:26" ht="12" customHeight="1" x14ac:dyDescent="0.25">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spans="1:26" ht="12" customHeight="1" x14ac:dyDescent="0.25">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spans="1:26" ht="12" customHeight="1" x14ac:dyDescent="0.25">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spans="1:26" ht="12" customHeight="1" x14ac:dyDescent="0.25">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spans="1:26" ht="12" customHeight="1" x14ac:dyDescent="0.25">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spans="1:26" ht="12" customHeight="1" x14ac:dyDescent="0.25">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spans="1:26" ht="12" customHeight="1" x14ac:dyDescent="0.25">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spans="1:26" ht="12" customHeight="1" x14ac:dyDescent="0.25">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spans="1:26" ht="12" customHeight="1" x14ac:dyDescent="0.25">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spans="1:26" ht="12" customHeight="1" x14ac:dyDescent="0.25">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spans="1:26" ht="12" customHeight="1" x14ac:dyDescent="0.25">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spans="1:26" ht="12" customHeight="1" x14ac:dyDescent="0.25">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spans="1:26" ht="12" customHeight="1" x14ac:dyDescent="0.25">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spans="1:26" ht="12" customHeight="1" x14ac:dyDescent="0.25">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spans="1:26" ht="12" customHeight="1" x14ac:dyDescent="0.25">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spans="1:26" ht="12" customHeight="1" x14ac:dyDescent="0.25">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spans="1:26" ht="12" customHeight="1" x14ac:dyDescent="0.25">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spans="1:26" ht="12" customHeight="1" x14ac:dyDescent="0.25">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spans="1:26" ht="12" customHeight="1" x14ac:dyDescent="0.25">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spans="1:26" ht="12" customHeight="1" x14ac:dyDescent="0.25">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spans="1:26" ht="12" customHeight="1" x14ac:dyDescent="0.25">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spans="1:26" ht="12" customHeight="1" x14ac:dyDescent="0.25">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spans="1:26" ht="12" customHeight="1" x14ac:dyDescent="0.25">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spans="1:26" ht="12" customHeight="1" x14ac:dyDescent="0.25">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spans="1:26" ht="12" customHeight="1" x14ac:dyDescent="0.25">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spans="1:26" ht="12" customHeight="1" x14ac:dyDescent="0.25">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spans="1:26" ht="12" customHeight="1" x14ac:dyDescent="0.25">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spans="1:26" ht="12" customHeight="1" x14ac:dyDescent="0.25">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spans="1:26" ht="12" customHeight="1" x14ac:dyDescent="0.25">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spans="1:26" ht="12" customHeight="1" x14ac:dyDescent="0.25">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spans="1:26" ht="12" customHeight="1" x14ac:dyDescent="0.25">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spans="1:26" ht="12" customHeight="1" x14ac:dyDescent="0.25">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spans="1:26" ht="12" customHeight="1" x14ac:dyDescent="0.25">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spans="1:26" ht="12" customHeight="1" x14ac:dyDescent="0.25">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spans="1:26" ht="12" customHeight="1" x14ac:dyDescent="0.25">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spans="1:26" ht="12" customHeight="1" x14ac:dyDescent="0.25">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spans="1:26" ht="12" customHeight="1" x14ac:dyDescent="0.25">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spans="1:26" ht="12" customHeight="1" x14ac:dyDescent="0.25">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spans="1:26" ht="12" customHeight="1" x14ac:dyDescent="0.25">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spans="1:26" ht="12" customHeight="1" x14ac:dyDescent="0.25">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spans="1:26" ht="12" customHeight="1" x14ac:dyDescent="0.25">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spans="1:26" ht="12" customHeight="1" x14ac:dyDescent="0.25">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spans="1:26" ht="12" customHeight="1" x14ac:dyDescent="0.25">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spans="1:26" ht="12" customHeight="1" x14ac:dyDescent="0.25">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spans="1:26" ht="12" customHeight="1" x14ac:dyDescent="0.25">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spans="1:26" ht="12" customHeight="1" x14ac:dyDescent="0.25">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spans="1:26" ht="12" customHeight="1" x14ac:dyDescent="0.25">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spans="1:26" ht="12" customHeight="1" x14ac:dyDescent="0.25">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spans="1:26" ht="12" customHeight="1" x14ac:dyDescent="0.25">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spans="1:26" ht="12" customHeight="1" x14ac:dyDescent="0.25">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spans="1:26" ht="12" customHeight="1" x14ac:dyDescent="0.25">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spans="1:26" ht="12" customHeight="1" x14ac:dyDescent="0.25">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spans="1:26" ht="12" customHeight="1" x14ac:dyDescent="0.25">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spans="1:26" ht="12" customHeight="1" x14ac:dyDescent="0.25">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spans="1:26" ht="12" customHeight="1" x14ac:dyDescent="0.25">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spans="1:26" ht="12" customHeight="1" x14ac:dyDescent="0.25">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spans="1:26" ht="12" customHeight="1" x14ac:dyDescent="0.25">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spans="1:26" ht="12" customHeight="1" x14ac:dyDescent="0.25">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spans="1:26" ht="12" customHeight="1" x14ac:dyDescent="0.25">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spans="1:26" ht="12" customHeight="1" x14ac:dyDescent="0.25">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spans="1:26" ht="12" customHeight="1" x14ac:dyDescent="0.25">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spans="1:26" ht="12" customHeight="1" x14ac:dyDescent="0.25">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spans="1:26" ht="12" customHeight="1" x14ac:dyDescent="0.25">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spans="1:26" ht="12" customHeight="1" x14ac:dyDescent="0.25">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spans="1:26" ht="12" customHeight="1" x14ac:dyDescent="0.25">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spans="1:26" ht="12" customHeight="1" x14ac:dyDescent="0.25">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spans="1:26" ht="12" customHeight="1" x14ac:dyDescent="0.25">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spans="1:26" ht="12" customHeight="1" x14ac:dyDescent="0.25">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spans="1:26" ht="12" customHeight="1" x14ac:dyDescent="0.25">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spans="1:26" ht="12" customHeight="1" x14ac:dyDescent="0.25">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spans="1:26" ht="12" customHeight="1" x14ac:dyDescent="0.25">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spans="1:26" ht="12" customHeight="1" x14ac:dyDescent="0.25">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spans="1:26" ht="12" customHeight="1" x14ac:dyDescent="0.25">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spans="1:26" ht="12" customHeight="1" x14ac:dyDescent="0.25">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spans="1:26" ht="12" customHeight="1" x14ac:dyDescent="0.25">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spans="1:26" ht="12" customHeight="1" x14ac:dyDescent="0.25">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spans="1:26" ht="12" customHeight="1" x14ac:dyDescent="0.25">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spans="1:26" ht="12" customHeight="1" x14ac:dyDescent="0.25">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spans="1:26" ht="12" customHeight="1" x14ac:dyDescent="0.25">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spans="1:26" ht="12" customHeight="1" x14ac:dyDescent="0.25">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spans="1:26" ht="12" customHeight="1" x14ac:dyDescent="0.25">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spans="1:26" ht="12" customHeight="1" x14ac:dyDescent="0.25">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spans="1:26" ht="12" customHeight="1" x14ac:dyDescent="0.25">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spans="1:26" ht="12" customHeight="1" x14ac:dyDescent="0.25">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spans="1:26" ht="12" customHeight="1" x14ac:dyDescent="0.25">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spans="1:26" ht="12" customHeight="1" x14ac:dyDescent="0.25">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spans="1:26" ht="12" customHeight="1" x14ac:dyDescent="0.25">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spans="1:26" ht="12" customHeight="1" x14ac:dyDescent="0.25">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spans="1:26" ht="12" customHeight="1" x14ac:dyDescent="0.25">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spans="1:26" ht="12" customHeight="1" x14ac:dyDescent="0.25">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spans="1:26" ht="12" customHeight="1" x14ac:dyDescent="0.25">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spans="1:26" ht="12" customHeight="1" x14ac:dyDescent="0.25">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spans="1:26" ht="12" customHeight="1" x14ac:dyDescent="0.25">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spans="1:26" ht="12" customHeight="1" x14ac:dyDescent="0.25">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spans="1:26" ht="12" customHeight="1" x14ac:dyDescent="0.25">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spans="1:26" ht="12" customHeight="1" x14ac:dyDescent="0.25">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spans="1:26" ht="12" customHeight="1" x14ac:dyDescent="0.25">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spans="1:26" ht="12" customHeight="1" x14ac:dyDescent="0.25">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spans="1:26" ht="12" customHeight="1" x14ac:dyDescent="0.25">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spans="1:26" ht="12" customHeight="1" x14ac:dyDescent="0.25">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spans="1:26" ht="12" customHeight="1" x14ac:dyDescent="0.25">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spans="1:26" ht="12" customHeight="1" x14ac:dyDescent="0.25">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spans="1:26" ht="12" customHeight="1" x14ac:dyDescent="0.25">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spans="1:26" ht="12" customHeight="1" x14ac:dyDescent="0.25">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spans="1:26" ht="12" customHeight="1" x14ac:dyDescent="0.25">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spans="1:26" ht="12" customHeight="1" x14ac:dyDescent="0.25">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spans="1:26" ht="12" customHeight="1" x14ac:dyDescent="0.25">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spans="1:26" ht="12" customHeight="1" x14ac:dyDescent="0.25">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spans="1:26" ht="12" customHeight="1" x14ac:dyDescent="0.25">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spans="1:26" ht="12" customHeight="1" x14ac:dyDescent="0.25">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spans="1:26" ht="12" customHeight="1" x14ac:dyDescent="0.25">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spans="1:26" ht="12" customHeight="1" x14ac:dyDescent="0.25">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spans="1:26" ht="12" customHeight="1" x14ac:dyDescent="0.25">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spans="1:26" ht="12" customHeight="1" x14ac:dyDescent="0.25">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spans="1:26" ht="12" customHeight="1" x14ac:dyDescent="0.25">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spans="1:26" ht="12" customHeight="1" x14ac:dyDescent="0.25">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spans="1:26" ht="12" customHeight="1" x14ac:dyDescent="0.25">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spans="1:26" ht="12" customHeight="1" x14ac:dyDescent="0.25">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spans="1:26" ht="12" customHeight="1" x14ac:dyDescent="0.25">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spans="1:26" ht="12" customHeight="1" x14ac:dyDescent="0.25">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spans="1:26" ht="12" customHeight="1" x14ac:dyDescent="0.25">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spans="1:26" ht="12" customHeight="1" x14ac:dyDescent="0.25">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spans="1:26" ht="12" customHeight="1" x14ac:dyDescent="0.25">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spans="1:26" ht="12" customHeight="1" x14ac:dyDescent="0.25">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spans="1:26" ht="12" customHeight="1" x14ac:dyDescent="0.25">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spans="1:26" ht="12" customHeight="1" x14ac:dyDescent="0.25">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spans="1:26" ht="12" customHeight="1" x14ac:dyDescent="0.25">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spans="1:26" ht="12" customHeight="1" x14ac:dyDescent="0.25">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spans="1:26" ht="12" customHeight="1" x14ac:dyDescent="0.25">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spans="1:26" ht="12" customHeight="1" x14ac:dyDescent="0.25">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spans="1:26" ht="12" customHeight="1" x14ac:dyDescent="0.25">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spans="1:26" ht="12" customHeight="1" x14ac:dyDescent="0.25">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spans="1:26" ht="12" customHeight="1" x14ac:dyDescent="0.25">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spans="1:26" ht="12" customHeight="1" x14ac:dyDescent="0.25">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spans="1:26" ht="12" customHeight="1" x14ac:dyDescent="0.25">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spans="1:26" ht="12" customHeight="1" x14ac:dyDescent="0.25">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spans="1:26" ht="12" customHeight="1" x14ac:dyDescent="0.25">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spans="1:26" ht="12" customHeight="1" x14ac:dyDescent="0.25">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spans="1:26" ht="12" customHeight="1" x14ac:dyDescent="0.25">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spans="1:26" ht="12" customHeight="1" x14ac:dyDescent="0.25">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spans="1:26" ht="12" customHeight="1" x14ac:dyDescent="0.25">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spans="1:26" ht="12" customHeight="1" x14ac:dyDescent="0.25">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spans="1:26" ht="12" customHeight="1" x14ac:dyDescent="0.25">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spans="1:26" ht="12" customHeight="1" x14ac:dyDescent="0.25">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spans="1:26" ht="12" customHeight="1" x14ac:dyDescent="0.25">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spans="1:26" ht="12" customHeight="1" x14ac:dyDescent="0.25">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spans="1:26" ht="12" customHeight="1" x14ac:dyDescent="0.25">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spans="1:26" ht="12" customHeight="1" x14ac:dyDescent="0.25">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spans="1:26" ht="12" customHeight="1" x14ac:dyDescent="0.25">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spans="1:26" ht="12" customHeight="1" x14ac:dyDescent="0.25">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spans="1:26" ht="12" customHeight="1" x14ac:dyDescent="0.25">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spans="1:26" ht="12" customHeight="1" x14ac:dyDescent="0.25">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spans="1:26" ht="12" customHeight="1" x14ac:dyDescent="0.25">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spans="1:26" ht="12" customHeight="1" x14ac:dyDescent="0.25">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spans="1:26" ht="12" customHeight="1" x14ac:dyDescent="0.25">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spans="1:26" ht="12" customHeight="1" x14ac:dyDescent="0.25">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spans="1:26" ht="12" customHeight="1" x14ac:dyDescent="0.25">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spans="1:26" ht="12" customHeight="1" x14ac:dyDescent="0.25">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spans="1:26" ht="12" customHeight="1" x14ac:dyDescent="0.25">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spans="1:26" ht="12" customHeight="1" x14ac:dyDescent="0.25">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spans="1:26" ht="12" customHeight="1" x14ac:dyDescent="0.25">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spans="1:26" ht="12" customHeight="1" x14ac:dyDescent="0.25">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spans="1:26" ht="12" customHeight="1" x14ac:dyDescent="0.25">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spans="1:26" ht="12" customHeight="1" x14ac:dyDescent="0.25">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spans="1:26" ht="12" customHeight="1" x14ac:dyDescent="0.25">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spans="1:26" ht="12" customHeight="1" x14ac:dyDescent="0.25">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spans="1:26" ht="12" customHeight="1" x14ac:dyDescent="0.25">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spans="1:26" ht="12" customHeight="1" x14ac:dyDescent="0.25">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spans="1:26" ht="12" customHeight="1" x14ac:dyDescent="0.25">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spans="1:26" ht="12" customHeight="1" x14ac:dyDescent="0.25">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spans="1:26" ht="12" customHeight="1" x14ac:dyDescent="0.25">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spans="1:26" ht="12" customHeight="1" x14ac:dyDescent="0.25">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spans="1:26" ht="12" customHeight="1" x14ac:dyDescent="0.25">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spans="1:26" ht="12" customHeight="1" x14ac:dyDescent="0.25">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spans="1:26" ht="12" customHeight="1" x14ac:dyDescent="0.25">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spans="1:26" ht="12" customHeight="1" x14ac:dyDescent="0.25">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spans="1:26" ht="12" customHeight="1" x14ac:dyDescent="0.25">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spans="1:26" ht="12" customHeight="1" x14ac:dyDescent="0.25">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spans="1:26" ht="12" customHeight="1" x14ac:dyDescent="0.25">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spans="1:26" ht="12" customHeight="1" x14ac:dyDescent="0.25">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spans="1:26" ht="12" customHeight="1" x14ac:dyDescent="0.25">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spans="1:26" ht="12" customHeight="1" x14ac:dyDescent="0.25">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spans="1:26" ht="12" customHeight="1" x14ac:dyDescent="0.25">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spans="1:26" ht="12" customHeight="1" x14ac:dyDescent="0.25">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spans="1:26" ht="12" customHeight="1" x14ac:dyDescent="0.25">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spans="1:26" ht="12" customHeight="1" x14ac:dyDescent="0.25">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spans="1:26" ht="12" customHeight="1" x14ac:dyDescent="0.25">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spans="1:26" ht="12" customHeight="1" x14ac:dyDescent="0.25">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spans="1:26" ht="12" customHeight="1" x14ac:dyDescent="0.25">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spans="1:26" ht="12" customHeight="1" x14ac:dyDescent="0.25">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spans="1:26" ht="12" customHeight="1" x14ac:dyDescent="0.25">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spans="1:26" ht="12" customHeight="1" x14ac:dyDescent="0.25">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spans="1:26" ht="12" customHeight="1" x14ac:dyDescent="0.25">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spans="1:26" ht="12" customHeight="1" x14ac:dyDescent="0.25">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spans="1:26" ht="12" customHeight="1" x14ac:dyDescent="0.25">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spans="1:26" ht="12" customHeight="1" x14ac:dyDescent="0.25">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spans="1:26" ht="12" customHeight="1" x14ac:dyDescent="0.25">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spans="1:26" ht="12" customHeight="1" x14ac:dyDescent="0.25">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spans="1:26" ht="12" customHeight="1" x14ac:dyDescent="0.25">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spans="1:26" ht="12" customHeight="1" x14ac:dyDescent="0.25">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spans="1:26" ht="12" customHeight="1" x14ac:dyDescent="0.25">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spans="1:26" ht="12" customHeight="1" x14ac:dyDescent="0.25">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spans="1:26" ht="12" customHeight="1" x14ac:dyDescent="0.25">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spans="1:26" ht="12" customHeight="1" x14ac:dyDescent="0.25">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spans="1:26" ht="12" customHeight="1" x14ac:dyDescent="0.25">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spans="1:26" ht="12" customHeight="1" x14ac:dyDescent="0.25">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spans="1:26" ht="12" customHeight="1" x14ac:dyDescent="0.25">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spans="1:26" ht="12" customHeight="1" x14ac:dyDescent="0.25">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spans="1:26" ht="12" customHeight="1" x14ac:dyDescent="0.25">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spans="1:26" ht="12" customHeight="1" x14ac:dyDescent="0.25">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spans="1:26" ht="12" customHeight="1" x14ac:dyDescent="0.25">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spans="1:26" ht="12" customHeight="1" x14ac:dyDescent="0.25">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spans="1:26" ht="12" customHeight="1" x14ac:dyDescent="0.25">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spans="1:26" ht="12" customHeight="1" x14ac:dyDescent="0.25">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spans="1:26" ht="12" customHeight="1" x14ac:dyDescent="0.25">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spans="1:26" ht="12" customHeight="1" x14ac:dyDescent="0.25">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spans="1:26" ht="12" customHeight="1" x14ac:dyDescent="0.25">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spans="1:26" ht="12" customHeight="1" x14ac:dyDescent="0.25">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spans="1:26" ht="12" customHeight="1" x14ac:dyDescent="0.25">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spans="1:26" ht="12" customHeight="1" x14ac:dyDescent="0.25">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spans="1:26" ht="12" customHeight="1" x14ac:dyDescent="0.25">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spans="1:26" ht="12" customHeight="1" x14ac:dyDescent="0.25">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spans="1:26" ht="12" customHeight="1" x14ac:dyDescent="0.25">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spans="1:26" ht="12" customHeight="1" x14ac:dyDescent="0.25">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spans="1:26" ht="12" customHeight="1" x14ac:dyDescent="0.25">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spans="1:26" ht="12" customHeight="1" x14ac:dyDescent="0.25">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spans="1:26" ht="12" customHeight="1" x14ac:dyDescent="0.25">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spans="1:26" ht="12" customHeight="1" x14ac:dyDescent="0.25">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spans="1:26" ht="12" customHeight="1" x14ac:dyDescent="0.25">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spans="1:26" ht="12" customHeight="1" x14ac:dyDescent="0.25">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spans="1:26" ht="12" customHeight="1" x14ac:dyDescent="0.25">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spans="1:26" ht="12" customHeight="1" x14ac:dyDescent="0.25">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spans="1:26" ht="12" customHeight="1" x14ac:dyDescent="0.25">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spans="1:26" ht="12" customHeight="1" x14ac:dyDescent="0.25">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spans="1:26" ht="12" customHeight="1" x14ac:dyDescent="0.25">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spans="1:26" ht="12" customHeight="1" x14ac:dyDescent="0.25">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spans="1:26" ht="12" customHeight="1" x14ac:dyDescent="0.25">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spans="1:26" ht="12" customHeight="1" x14ac:dyDescent="0.25">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spans="1:26" ht="12" customHeight="1" x14ac:dyDescent="0.25">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spans="1:26" ht="12" customHeight="1" x14ac:dyDescent="0.25">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spans="1:26" ht="12" customHeight="1" x14ac:dyDescent="0.25">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spans="1:26" ht="12" customHeight="1" x14ac:dyDescent="0.25">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spans="1:26" ht="12" customHeight="1" x14ac:dyDescent="0.25">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spans="1:26" ht="12" customHeight="1" x14ac:dyDescent="0.25">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spans="1:26" ht="12" customHeight="1" x14ac:dyDescent="0.25">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spans="1:26" ht="12" customHeight="1" x14ac:dyDescent="0.25">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spans="1:26" ht="12" customHeight="1" x14ac:dyDescent="0.25">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spans="1:26" ht="12" customHeight="1" x14ac:dyDescent="0.25">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spans="1:26" ht="12" customHeight="1" x14ac:dyDescent="0.25">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spans="1:26" ht="12" customHeight="1" x14ac:dyDescent="0.25">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spans="1:26" ht="12" customHeight="1" x14ac:dyDescent="0.25">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spans="1:26" ht="12" customHeight="1" x14ac:dyDescent="0.25">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spans="1:26" ht="12" customHeight="1" x14ac:dyDescent="0.25">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spans="1:26" ht="12" customHeight="1" x14ac:dyDescent="0.25">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spans="1:26" ht="12" customHeight="1" x14ac:dyDescent="0.25">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spans="1:26" ht="12" customHeight="1" x14ac:dyDescent="0.25">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spans="1:26" ht="12" customHeight="1" x14ac:dyDescent="0.25">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spans="1:26" ht="12" customHeight="1" x14ac:dyDescent="0.25">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spans="1:26" ht="12" customHeight="1" x14ac:dyDescent="0.25">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spans="1:26" ht="12" customHeight="1" x14ac:dyDescent="0.25">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spans="1:26" ht="12" customHeight="1" x14ac:dyDescent="0.25">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spans="1:26" ht="12" customHeight="1" x14ac:dyDescent="0.25">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spans="1:26" ht="12" customHeight="1" x14ac:dyDescent="0.25">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spans="1:26" ht="12" customHeight="1" x14ac:dyDescent="0.25">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spans="1:26" ht="12" customHeight="1" x14ac:dyDescent="0.25">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spans="1:26" ht="12" customHeight="1" x14ac:dyDescent="0.25">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spans="1:26" ht="12" customHeight="1" x14ac:dyDescent="0.25">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spans="1:26" ht="12" customHeight="1" x14ac:dyDescent="0.25">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spans="1:26" ht="12" customHeight="1" x14ac:dyDescent="0.25">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spans="1:26" ht="12" customHeight="1" x14ac:dyDescent="0.25">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spans="1:26" ht="12" customHeight="1" x14ac:dyDescent="0.25">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spans="1:26" ht="12" customHeight="1" x14ac:dyDescent="0.25">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spans="1:26" ht="12" customHeight="1" x14ac:dyDescent="0.25">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spans="1:26" ht="12" customHeight="1" x14ac:dyDescent="0.25">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spans="1:26" ht="12" customHeight="1" x14ac:dyDescent="0.25">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spans="1:26" ht="12" customHeight="1" x14ac:dyDescent="0.25">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spans="1:26" ht="12" customHeight="1" x14ac:dyDescent="0.25">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spans="1:26" ht="12" customHeight="1" x14ac:dyDescent="0.25">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spans="1:26" ht="12" customHeight="1" x14ac:dyDescent="0.25">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spans="1:26" ht="12" customHeight="1" x14ac:dyDescent="0.25">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spans="1:26" ht="12" customHeight="1" x14ac:dyDescent="0.25">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spans="1:26" ht="12" customHeight="1" x14ac:dyDescent="0.25">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spans="1:26" ht="12" customHeight="1" x14ac:dyDescent="0.25">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spans="1:26" ht="12" customHeight="1" x14ac:dyDescent="0.25">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spans="1:26" ht="12" customHeight="1" x14ac:dyDescent="0.25">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spans="1:26" ht="12" customHeight="1" x14ac:dyDescent="0.25">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spans="1:26" ht="12" customHeight="1" x14ac:dyDescent="0.25">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spans="1:26" ht="12" customHeight="1" x14ac:dyDescent="0.25">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spans="1:26" ht="12" customHeight="1" x14ac:dyDescent="0.25">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spans="1:26" ht="12" customHeight="1" x14ac:dyDescent="0.25">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spans="1:26" ht="12" customHeight="1" x14ac:dyDescent="0.25">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spans="1:26" ht="12" customHeight="1" x14ac:dyDescent="0.25">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spans="1:26" ht="12" customHeight="1" x14ac:dyDescent="0.25">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spans="1:26" ht="12" customHeight="1" x14ac:dyDescent="0.25">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spans="1:26" ht="12" customHeight="1" x14ac:dyDescent="0.25">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spans="1:26" ht="12" customHeight="1" x14ac:dyDescent="0.25">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spans="1:26" ht="12" customHeight="1" x14ac:dyDescent="0.25">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spans="1:26" ht="12" customHeight="1" x14ac:dyDescent="0.25">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spans="1:26" ht="12" customHeight="1" x14ac:dyDescent="0.25">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spans="1:26" ht="12" customHeight="1" x14ac:dyDescent="0.25">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spans="1:26" ht="12" customHeight="1" x14ac:dyDescent="0.25">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spans="1:26" ht="12" customHeight="1" x14ac:dyDescent="0.25">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spans="1:26" ht="12" customHeight="1" x14ac:dyDescent="0.25">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spans="1:26" ht="12" customHeight="1" x14ac:dyDescent="0.25">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spans="1:26" ht="12" customHeight="1" x14ac:dyDescent="0.25">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spans="1:26" ht="12" customHeight="1" x14ac:dyDescent="0.25">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spans="1:26" ht="12" customHeight="1" x14ac:dyDescent="0.25">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spans="1:26" ht="12" customHeight="1" x14ac:dyDescent="0.25">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spans="1:26" ht="12" customHeight="1" x14ac:dyDescent="0.25">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spans="1:26" ht="12" customHeight="1" x14ac:dyDescent="0.25">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spans="1:26" ht="12" customHeight="1" x14ac:dyDescent="0.25">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spans="1:26" ht="12" customHeight="1" x14ac:dyDescent="0.25">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spans="1:26" ht="12" customHeight="1" x14ac:dyDescent="0.25">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spans="1:26" ht="12" customHeight="1" x14ac:dyDescent="0.25">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spans="1:26" ht="12" customHeight="1" x14ac:dyDescent="0.25">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spans="1:26" ht="12" customHeight="1" x14ac:dyDescent="0.25">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spans="1:26" ht="12" customHeight="1" x14ac:dyDescent="0.25">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spans="1:26" ht="12" customHeight="1" x14ac:dyDescent="0.25">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spans="1:26" ht="12" customHeight="1" x14ac:dyDescent="0.25">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spans="1:26" ht="12" customHeight="1" x14ac:dyDescent="0.25">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spans="1:26" ht="12" customHeight="1" x14ac:dyDescent="0.25">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spans="1:26" ht="12" customHeight="1" x14ac:dyDescent="0.25">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spans="1:26" ht="12" customHeight="1" x14ac:dyDescent="0.25">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spans="1:26" ht="12" customHeight="1" x14ac:dyDescent="0.25">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spans="1:26" ht="12" customHeight="1" x14ac:dyDescent="0.25">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spans="1:26" ht="12" customHeight="1" x14ac:dyDescent="0.25">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spans="1:26" ht="12" customHeight="1" x14ac:dyDescent="0.25">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spans="1:26" ht="12" customHeight="1" x14ac:dyDescent="0.25">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spans="1:26" ht="12" customHeight="1" x14ac:dyDescent="0.25">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spans="1:26" ht="12" customHeight="1" x14ac:dyDescent="0.25">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spans="1:26" ht="12" customHeight="1" x14ac:dyDescent="0.25">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spans="1:26" ht="12" customHeight="1" x14ac:dyDescent="0.25">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spans="1:26" ht="12" customHeight="1" x14ac:dyDescent="0.25">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spans="1:26" ht="12" customHeight="1" x14ac:dyDescent="0.25">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spans="1:26" ht="12" customHeight="1" x14ac:dyDescent="0.25">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spans="1:26" ht="12" customHeight="1" x14ac:dyDescent="0.25">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spans="1:26" ht="12" customHeight="1" x14ac:dyDescent="0.25">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spans="1:26" ht="12" customHeight="1" x14ac:dyDescent="0.25">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spans="1:26" ht="12" customHeight="1" x14ac:dyDescent="0.25">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spans="1:26" ht="12" customHeight="1" x14ac:dyDescent="0.25">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spans="1:26" ht="12" customHeight="1" x14ac:dyDescent="0.25">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spans="1:26" ht="12" customHeight="1" x14ac:dyDescent="0.25">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spans="1:26" ht="12" customHeight="1" x14ac:dyDescent="0.25">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spans="1:26" ht="12" customHeight="1" x14ac:dyDescent="0.25">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spans="1:26" ht="12" customHeight="1" x14ac:dyDescent="0.25">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spans="1:26" ht="12" customHeight="1" x14ac:dyDescent="0.25">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spans="1:26" ht="12" customHeight="1" x14ac:dyDescent="0.25">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spans="1:26" ht="12" customHeight="1" x14ac:dyDescent="0.25">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spans="1:26" ht="12" customHeight="1" x14ac:dyDescent="0.25">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spans="1:26" ht="12" customHeight="1" x14ac:dyDescent="0.25">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spans="1:26" ht="12" customHeight="1" x14ac:dyDescent="0.25">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spans="1:26" ht="12" customHeight="1" x14ac:dyDescent="0.25">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spans="1:26" ht="12" customHeight="1" x14ac:dyDescent="0.25">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spans="1:26" ht="12" customHeight="1" x14ac:dyDescent="0.25">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spans="1:26" ht="12" customHeight="1" x14ac:dyDescent="0.25">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spans="1:26" ht="12" customHeight="1" x14ac:dyDescent="0.25">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spans="1:26" ht="12" customHeight="1" x14ac:dyDescent="0.25">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spans="1:26" ht="12" customHeight="1" x14ac:dyDescent="0.25">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spans="1:26" ht="12" customHeight="1" x14ac:dyDescent="0.25">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spans="1:26" ht="12" customHeight="1" x14ac:dyDescent="0.25">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spans="1:26" ht="12" customHeight="1" x14ac:dyDescent="0.25">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spans="1:26" ht="12" customHeight="1" x14ac:dyDescent="0.25">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spans="1:26" ht="12" customHeight="1" x14ac:dyDescent="0.25">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spans="1:26" ht="12" customHeight="1" x14ac:dyDescent="0.25">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spans="1:26" ht="12" customHeight="1" x14ac:dyDescent="0.25">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spans="1:26" ht="12" customHeight="1" x14ac:dyDescent="0.25">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spans="1:26" ht="12" customHeight="1" x14ac:dyDescent="0.25">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spans="1:26" ht="12" customHeight="1" x14ac:dyDescent="0.25">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spans="1:26" ht="12" customHeight="1" x14ac:dyDescent="0.25">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spans="1:26" ht="12" customHeight="1" x14ac:dyDescent="0.25">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spans="1:26" ht="12" customHeight="1" x14ac:dyDescent="0.25">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spans="1:26" ht="12" customHeight="1" x14ac:dyDescent="0.25">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spans="1:26" ht="12" customHeight="1" x14ac:dyDescent="0.25">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spans="1:26" ht="12" customHeight="1" x14ac:dyDescent="0.25">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spans="1:26" ht="12" customHeight="1" x14ac:dyDescent="0.25">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spans="1:26" ht="12" customHeight="1" x14ac:dyDescent="0.25">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spans="1:26" ht="12" customHeight="1" x14ac:dyDescent="0.25">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spans="1:26" ht="12" customHeight="1" x14ac:dyDescent="0.25">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spans="1:26" ht="12" customHeight="1" x14ac:dyDescent="0.25">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spans="1:26" ht="12" customHeight="1" x14ac:dyDescent="0.25">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spans="1:26" ht="12" customHeight="1" x14ac:dyDescent="0.25">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spans="1:26" ht="12" customHeight="1" x14ac:dyDescent="0.25">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spans="1:26" ht="12" customHeight="1" x14ac:dyDescent="0.25">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spans="1:26" ht="12" customHeight="1" x14ac:dyDescent="0.25">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spans="1:26" ht="12" customHeight="1" x14ac:dyDescent="0.25">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spans="1:26" ht="12" customHeight="1" x14ac:dyDescent="0.25">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spans="1:26" ht="12" customHeight="1" x14ac:dyDescent="0.25">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spans="1:26" ht="12" customHeight="1" x14ac:dyDescent="0.25">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spans="1:26" ht="12" customHeight="1" x14ac:dyDescent="0.25">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spans="1:26" ht="12" customHeight="1" x14ac:dyDescent="0.25">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spans="1:26" ht="12" customHeight="1" x14ac:dyDescent="0.25">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spans="1:26" ht="12" customHeight="1" x14ac:dyDescent="0.25">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spans="1:26" ht="12" customHeight="1" x14ac:dyDescent="0.25">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spans="1:26" ht="12" customHeight="1" x14ac:dyDescent="0.25">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spans="1:26" ht="12" customHeight="1" x14ac:dyDescent="0.25">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spans="1:26" ht="12" customHeight="1" x14ac:dyDescent="0.25">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spans="1:26" ht="12" customHeight="1" x14ac:dyDescent="0.25">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spans="1:26" ht="12" customHeight="1" x14ac:dyDescent="0.25">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spans="1:26" ht="12" customHeight="1" x14ac:dyDescent="0.25">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spans="1:26" ht="12" customHeight="1" x14ac:dyDescent="0.25">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spans="1:26" ht="12" customHeight="1" x14ac:dyDescent="0.25">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spans="1:26" ht="12" customHeight="1" x14ac:dyDescent="0.25">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spans="1:26" ht="12" customHeight="1" x14ac:dyDescent="0.25">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spans="1:26" ht="12" customHeight="1" x14ac:dyDescent="0.25">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spans="1:26" ht="12" customHeight="1" x14ac:dyDescent="0.25">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spans="1:26" ht="12" customHeight="1" x14ac:dyDescent="0.25">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spans="1:26" ht="12" customHeight="1" x14ac:dyDescent="0.25">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spans="1:26" ht="12" customHeight="1" x14ac:dyDescent="0.25">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spans="1:26" ht="12" customHeight="1" x14ac:dyDescent="0.25">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spans="1:26" ht="12" customHeight="1" x14ac:dyDescent="0.25">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spans="1:26" ht="12" customHeight="1" x14ac:dyDescent="0.25">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spans="1:26" ht="12" customHeight="1" x14ac:dyDescent="0.25">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spans="1:26" ht="12" customHeight="1" x14ac:dyDescent="0.25">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spans="1:26" ht="12" customHeight="1" x14ac:dyDescent="0.25">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spans="1:26" ht="12" customHeight="1" x14ac:dyDescent="0.25">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spans="1:26" ht="12" customHeight="1" x14ac:dyDescent="0.25">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spans="1:26" ht="12" customHeight="1" x14ac:dyDescent="0.25">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spans="1:26" ht="12" customHeight="1" x14ac:dyDescent="0.25">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spans="1:26" ht="12" customHeight="1" x14ac:dyDescent="0.25">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spans="1:26" ht="12" customHeight="1" x14ac:dyDescent="0.25">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spans="1:26" ht="12" customHeight="1" x14ac:dyDescent="0.25">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spans="1:26" ht="12" customHeight="1" x14ac:dyDescent="0.25">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spans="1:26" ht="12" customHeight="1" x14ac:dyDescent="0.25">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spans="1:26" ht="12" customHeight="1" x14ac:dyDescent="0.25">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spans="1:26" ht="12" customHeight="1" x14ac:dyDescent="0.25">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spans="1:26" ht="12" customHeight="1" x14ac:dyDescent="0.25">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spans="1:26" ht="12" customHeight="1" x14ac:dyDescent="0.25">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spans="1:26" ht="12" customHeight="1" x14ac:dyDescent="0.25">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spans="1:26" ht="12" customHeight="1" x14ac:dyDescent="0.25">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spans="1:26" ht="12" customHeight="1" x14ac:dyDescent="0.25">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spans="1:26" ht="12" customHeight="1" x14ac:dyDescent="0.25">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spans="1:26" ht="12" customHeight="1" x14ac:dyDescent="0.25">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spans="1:26" ht="12" customHeight="1" x14ac:dyDescent="0.25">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spans="1:26" ht="12" customHeight="1" x14ac:dyDescent="0.25">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spans="1:26" ht="12" customHeight="1" x14ac:dyDescent="0.25">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spans="1:26" ht="12" customHeight="1" x14ac:dyDescent="0.25">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spans="1:26" ht="12" customHeight="1" x14ac:dyDescent="0.25">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spans="1:26" ht="12" customHeight="1" x14ac:dyDescent="0.25">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spans="1:26" ht="12" customHeight="1" x14ac:dyDescent="0.25">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spans="1:26" ht="12" customHeight="1" x14ac:dyDescent="0.25">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spans="1:26" ht="12" customHeight="1" x14ac:dyDescent="0.25">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spans="1:26" ht="12" customHeight="1" x14ac:dyDescent="0.25">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spans="1:26" ht="12" customHeight="1" x14ac:dyDescent="0.25">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spans="1:26" ht="12" customHeight="1" x14ac:dyDescent="0.25">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spans="1:26" ht="12" customHeight="1" x14ac:dyDescent="0.25">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spans="1:26" ht="12" customHeight="1" x14ac:dyDescent="0.25">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spans="1:26" ht="12" customHeight="1" x14ac:dyDescent="0.25">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spans="1:26" ht="12" customHeight="1" x14ac:dyDescent="0.25">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spans="1:26" ht="12" customHeight="1" x14ac:dyDescent="0.25">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spans="1:26" ht="12" customHeight="1" x14ac:dyDescent="0.25">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spans="1:26" ht="12" customHeight="1" x14ac:dyDescent="0.25">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spans="1:26" ht="12" customHeight="1" x14ac:dyDescent="0.25">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spans="1:26" ht="12" customHeight="1" x14ac:dyDescent="0.25">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spans="1:26" ht="12" customHeight="1" x14ac:dyDescent="0.25">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spans="1:26" ht="12" customHeight="1" x14ac:dyDescent="0.25">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spans="1:26" ht="12" customHeight="1" x14ac:dyDescent="0.25">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spans="1:26" ht="12" customHeight="1" x14ac:dyDescent="0.25">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spans="1:26" ht="12" customHeight="1" x14ac:dyDescent="0.25">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spans="1:26" ht="12" customHeight="1" x14ac:dyDescent="0.25">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spans="1:26" ht="12" customHeight="1" x14ac:dyDescent="0.25">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spans="1:26" ht="12" customHeight="1" x14ac:dyDescent="0.25">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spans="1:26" ht="12" customHeight="1" x14ac:dyDescent="0.25">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spans="1:26" ht="12" customHeight="1" x14ac:dyDescent="0.25">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spans="1:26" ht="12" customHeight="1" x14ac:dyDescent="0.25">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spans="1:26" ht="12" customHeight="1" x14ac:dyDescent="0.25">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spans="1:26" ht="12" customHeight="1" x14ac:dyDescent="0.25">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spans="1:26" ht="12" customHeight="1" x14ac:dyDescent="0.25">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spans="1:26" ht="12" customHeight="1" x14ac:dyDescent="0.25">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spans="1:26" ht="12" customHeight="1" x14ac:dyDescent="0.25">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spans="1:26" ht="12" customHeight="1" x14ac:dyDescent="0.25">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spans="1:26" ht="12" customHeight="1" x14ac:dyDescent="0.25">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spans="1:26" ht="12" customHeight="1" x14ac:dyDescent="0.25">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spans="1:26" ht="12" customHeight="1" x14ac:dyDescent="0.25">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spans="1:26" ht="12" customHeight="1" x14ac:dyDescent="0.25">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spans="1:26" ht="12" customHeight="1" x14ac:dyDescent="0.25">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spans="1:26" ht="12" customHeight="1" x14ac:dyDescent="0.25">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spans="1:26" ht="12" customHeight="1" x14ac:dyDescent="0.25">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spans="1:26" ht="12" customHeight="1" x14ac:dyDescent="0.25">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spans="1:26" ht="12" customHeight="1" x14ac:dyDescent="0.25">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spans="1:26" ht="12" customHeight="1" x14ac:dyDescent="0.25">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spans="1:26" ht="12" customHeight="1" x14ac:dyDescent="0.25">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spans="1:26" ht="12" customHeight="1" x14ac:dyDescent="0.25">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spans="1:26" ht="12" customHeight="1" x14ac:dyDescent="0.25">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spans="1:26" ht="12" customHeight="1" x14ac:dyDescent="0.25">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spans="1:26" ht="12" customHeight="1" x14ac:dyDescent="0.25">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spans="1:26" ht="12" customHeight="1" x14ac:dyDescent="0.25">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spans="1:26" ht="12" customHeight="1" x14ac:dyDescent="0.25">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spans="1:26" ht="12" customHeight="1" x14ac:dyDescent="0.25">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spans="1:26" ht="12" customHeight="1" x14ac:dyDescent="0.25">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spans="1:26" ht="12" customHeight="1" x14ac:dyDescent="0.25">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spans="1:26" ht="12" customHeight="1" x14ac:dyDescent="0.25">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spans="1:26" ht="12" customHeight="1" x14ac:dyDescent="0.25">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spans="1:26" ht="12" customHeight="1" x14ac:dyDescent="0.25">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spans="1:26" ht="12" customHeight="1" x14ac:dyDescent="0.25">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spans="1:26" ht="12" customHeight="1" x14ac:dyDescent="0.25">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spans="1:26" ht="12" customHeight="1" x14ac:dyDescent="0.25">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spans="1:26" ht="12" customHeight="1" x14ac:dyDescent="0.25">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spans="1:26" ht="12" customHeight="1" x14ac:dyDescent="0.25">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spans="1:26" ht="12" customHeight="1" x14ac:dyDescent="0.25">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spans="1:26" ht="12" customHeight="1" x14ac:dyDescent="0.25">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spans="1:26" ht="12" customHeight="1" x14ac:dyDescent="0.25">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spans="1:26" ht="12" customHeight="1" x14ac:dyDescent="0.25">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spans="1:26" ht="12" customHeight="1" x14ac:dyDescent="0.25">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spans="1:26" ht="12" customHeight="1" x14ac:dyDescent="0.25">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spans="1:26" ht="12" customHeight="1" x14ac:dyDescent="0.25">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spans="1:26" ht="12" customHeight="1" x14ac:dyDescent="0.25">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spans="1:26" ht="12" customHeight="1" x14ac:dyDescent="0.25">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spans="1:26" ht="12" customHeight="1" x14ac:dyDescent="0.25">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spans="1:26" ht="12" customHeight="1" x14ac:dyDescent="0.25">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spans="1:26" ht="12" customHeight="1" x14ac:dyDescent="0.25">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spans="1:26" ht="12" customHeight="1" x14ac:dyDescent="0.25">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spans="1:26" ht="12" customHeight="1" x14ac:dyDescent="0.25">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spans="1:26" ht="12" customHeight="1" x14ac:dyDescent="0.25">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spans="1:26" ht="12" customHeight="1" x14ac:dyDescent="0.25">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spans="1:26" ht="12" customHeight="1" x14ac:dyDescent="0.25">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spans="1:26" ht="12" customHeight="1" x14ac:dyDescent="0.25">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spans="1:26" ht="12" customHeight="1" x14ac:dyDescent="0.25">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spans="1:26" ht="12" customHeight="1" x14ac:dyDescent="0.25">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spans="1:26" ht="12" customHeight="1" x14ac:dyDescent="0.25">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spans="1:26" ht="12" customHeight="1" x14ac:dyDescent="0.25">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spans="1:26" ht="12" customHeight="1" x14ac:dyDescent="0.25">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spans="1:26" ht="12" customHeight="1" x14ac:dyDescent="0.25">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spans="1:26" ht="12" customHeight="1" x14ac:dyDescent="0.25">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spans="1:26" ht="12" customHeight="1" x14ac:dyDescent="0.25">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spans="1:26" ht="12" customHeight="1" x14ac:dyDescent="0.25">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spans="1:26" ht="12" customHeight="1" x14ac:dyDescent="0.25">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spans="1:26" ht="12" customHeight="1" x14ac:dyDescent="0.25">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spans="1:26" ht="12" customHeight="1" x14ac:dyDescent="0.25">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spans="1:26" ht="12" customHeight="1" x14ac:dyDescent="0.25">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spans="1:26" ht="12" customHeight="1" x14ac:dyDescent="0.25">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spans="1:26" ht="12" customHeight="1" x14ac:dyDescent="0.25">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spans="1:26" ht="12" customHeight="1" x14ac:dyDescent="0.25">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spans="1:26" ht="12" customHeight="1" x14ac:dyDescent="0.25">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spans="1:26" ht="12" customHeight="1" x14ac:dyDescent="0.25">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spans="1:26" ht="12" customHeight="1" x14ac:dyDescent="0.25">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spans="1:26" ht="12" customHeight="1" x14ac:dyDescent="0.25">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spans="1:26" ht="12" customHeight="1" x14ac:dyDescent="0.25">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spans="1:26" ht="12" customHeight="1" x14ac:dyDescent="0.25">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spans="1:26" ht="12" customHeight="1" x14ac:dyDescent="0.25">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spans="1:26" ht="12" customHeight="1" x14ac:dyDescent="0.25">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ageMargins left="0.7" right="0.7" top="0.75" bottom="0.7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640625" defaultRowHeight="15" customHeight="1" x14ac:dyDescent="0.25"/>
  <cols>
    <col min="1" max="1" width="23.77734375" customWidth="1"/>
    <col min="2" max="2" width="11" customWidth="1"/>
    <col min="3" max="3" width="9.109375" customWidth="1"/>
    <col min="4" max="4" width="20.21875" customWidth="1"/>
    <col min="5" max="26" width="9.109375" customWidth="1"/>
  </cols>
  <sheetData>
    <row r="1" spans="1:26" ht="10.5" customHeight="1" x14ac:dyDescent="0.25">
      <c r="A1" s="70"/>
      <c r="B1" s="70"/>
      <c r="C1" s="70"/>
      <c r="D1" s="70"/>
      <c r="E1" s="70"/>
      <c r="F1" s="70"/>
      <c r="G1" s="70"/>
      <c r="H1" s="70"/>
      <c r="I1" s="70"/>
      <c r="J1" s="70"/>
      <c r="K1" s="70"/>
      <c r="L1" s="70"/>
      <c r="M1" s="70"/>
      <c r="N1" s="70"/>
      <c r="O1" s="70"/>
      <c r="P1" s="70"/>
      <c r="Q1" s="70"/>
      <c r="R1" s="70"/>
      <c r="S1" s="70"/>
      <c r="T1" s="70"/>
      <c r="U1" s="70"/>
      <c r="V1" s="70"/>
      <c r="W1" s="70"/>
      <c r="X1" s="70"/>
      <c r="Y1" s="70"/>
      <c r="Z1" s="70"/>
    </row>
    <row r="2" spans="1:26" ht="10.5" customHeight="1" x14ac:dyDescent="0.25">
      <c r="A2" s="70" t="s">
        <v>263</v>
      </c>
      <c r="B2" s="70" t="s">
        <v>264</v>
      </c>
      <c r="C2" s="70">
        <v>2011</v>
      </c>
      <c r="D2" s="71" t="s">
        <v>265</v>
      </c>
      <c r="E2" s="70" t="s">
        <v>266</v>
      </c>
      <c r="F2" s="70" t="s">
        <v>267</v>
      </c>
      <c r="G2" s="70"/>
      <c r="H2" s="70"/>
      <c r="I2" s="70"/>
      <c r="J2" s="70"/>
      <c r="K2" s="70"/>
      <c r="L2" s="70"/>
      <c r="M2" s="70"/>
      <c r="N2" s="70"/>
      <c r="O2" s="70"/>
      <c r="P2" s="70"/>
      <c r="Q2" s="70"/>
      <c r="R2" s="70"/>
      <c r="S2" s="70"/>
      <c r="T2" s="70"/>
      <c r="U2" s="70"/>
      <c r="V2" s="70"/>
      <c r="W2" s="70"/>
      <c r="X2" s="70"/>
      <c r="Y2" s="70"/>
      <c r="Z2" s="70"/>
    </row>
    <row r="3" spans="1:26" ht="10.5" customHeight="1" x14ac:dyDescent="0.25">
      <c r="A3" s="70" t="s">
        <v>268</v>
      </c>
      <c r="B3" s="70" t="s">
        <v>269</v>
      </c>
      <c r="C3" s="70">
        <f t="shared" ref="C3:C21" si="0">1+C2</f>
        <v>2012</v>
      </c>
      <c r="D3" s="71" t="s">
        <v>270</v>
      </c>
      <c r="E3" s="70" t="s">
        <v>271</v>
      </c>
      <c r="F3" s="70" t="s">
        <v>272</v>
      </c>
      <c r="G3" s="70"/>
      <c r="H3" s="70"/>
      <c r="I3" s="70"/>
      <c r="J3" s="70"/>
      <c r="K3" s="70"/>
      <c r="L3" s="70"/>
      <c r="M3" s="70"/>
      <c r="N3" s="70"/>
      <c r="O3" s="70"/>
      <c r="P3" s="70"/>
      <c r="Q3" s="70"/>
      <c r="R3" s="70"/>
      <c r="S3" s="70"/>
      <c r="T3" s="70"/>
      <c r="U3" s="70"/>
      <c r="V3" s="70"/>
      <c r="W3" s="70"/>
      <c r="X3" s="70"/>
      <c r="Y3" s="70"/>
      <c r="Z3" s="70"/>
    </row>
    <row r="4" spans="1:26" ht="10.5" customHeight="1" x14ac:dyDescent="0.25">
      <c r="A4" s="70" t="s">
        <v>273</v>
      </c>
      <c r="B4" s="70" t="s">
        <v>274</v>
      </c>
      <c r="C4" s="70">
        <f t="shared" si="0"/>
        <v>2013</v>
      </c>
      <c r="D4" s="71" t="s">
        <v>275</v>
      </c>
      <c r="E4" s="70" t="s">
        <v>276</v>
      </c>
      <c r="F4" s="70"/>
      <c r="G4" s="70"/>
      <c r="H4" s="70"/>
      <c r="I4" s="70"/>
      <c r="J4" s="70"/>
      <c r="K4" s="70"/>
      <c r="L4" s="70"/>
      <c r="M4" s="70"/>
      <c r="N4" s="70"/>
      <c r="O4" s="70"/>
      <c r="P4" s="70"/>
      <c r="Q4" s="70"/>
      <c r="R4" s="70"/>
      <c r="S4" s="70"/>
      <c r="T4" s="70"/>
      <c r="U4" s="70"/>
      <c r="V4" s="70"/>
      <c r="W4" s="70"/>
      <c r="X4" s="70"/>
      <c r="Y4" s="70"/>
      <c r="Z4" s="70"/>
    </row>
    <row r="5" spans="1:26" ht="10.5" customHeight="1" x14ac:dyDescent="0.25">
      <c r="A5" s="70" t="s">
        <v>277</v>
      </c>
      <c r="B5" s="70" t="s">
        <v>278</v>
      </c>
      <c r="C5" s="70">
        <f t="shared" si="0"/>
        <v>2014</v>
      </c>
      <c r="D5" s="71" t="s">
        <v>279</v>
      </c>
      <c r="E5" s="70" t="s">
        <v>272</v>
      </c>
      <c r="F5" s="70"/>
      <c r="G5" s="70"/>
      <c r="H5" s="70"/>
      <c r="I5" s="70"/>
      <c r="J5" s="70"/>
      <c r="K5" s="70"/>
      <c r="L5" s="70"/>
      <c r="M5" s="70"/>
      <c r="N5" s="70"/>
      <c r="O5" s="70"/>
      <c r="P5" s="70"/>
      <c r="Q5" s="70"/>
      <c r="R5" s="70"/>
      <c r="S5" s="70"/>
      <c r="T5" s="70"/>
      <c r="U5" s="70"/>
      <c r="V5" s="70"/>
      <c r="W5" s="70"/>
      <c r="X5" s="70"/>
      <c r="Y5" s="70"/>
      <c r="Z5" s="70"/>
    </row>
    <row r="6" spans="1:26" ht="10.5" customHeight="1" x14ac:dyDescent="0.25">
      <c r="A6" s="70" t="s">
        <v>280</v>
      </c>
      <c r="B6" s="70" t="s">
        <v>281</v>
      </c>
      <c r="C6" s="70">
        <f t="shared" si="0"/>
        <v>2015</v>
      </c>
      <c r="D6" s="71" t="s">
        <v>282</v>
      </c>
      <c r="E6" s="70"/>
      <c r="F6" s="70"/>
      <c r="G6" s="70"/>
      <c r="H6" s="70"/>
      <c r="I6" s="70"/>
      <c r="J6" s="70"/>
      <c r="K6" s="70"/>
      <c r="L6" s="70"/>
      <c r="M6" s="70"/>
      <c r="N6" s="70"/>
      <c r="O6" s="70"/>
      <c r="P6" s="70"/>
      <c r="Q6" s="70"/>
      <c r="R6" s="70"/>
      <c r="S6" s="70"/>
      <c r="T6" s="70"/>
      <c r="U6" s="70"/>
      <c r="V6" s="70"/>
      <c r="W6" s="70"/>
      <c r="X6" s="70"/>
      <c r="Y6" s="70"/>
      <c r="Z6" s="70"/>
    </row>
    <row r="7" spans="1:26" ht="10.5" customHeight="1" x14ac:dyDescent="0.25">
      <c r="A7" s="70" t="s">
        <v>283</v>
      </c>
      <c r="B7" s="70" t="s">
        <v>284</v>
      </c>
      <c r="C7" s="70">
        <f t="shared" si="0"/>
        <v>2016</v>
      </c>
      <c r="D7" s="71" t="s">
        <v>285</v>
      </c>
      <c r="E7" s="70"/>
      <c r="F7" s="70"/>
      <c r="G7" s="70"/>
      <c r="H7" s="70"/>
      <c r="I7" s="70"/>
      <c r="J7" s="70"/>
      <c r="K7" s="70"/>
      <c r="L7" s="70"/>
      <c r="M7" s="70"/>
      <c r="N7" s="70"/>
      <c r="O7" s="70"/>
      <c r="P7" s="70"/>
      <c r="Q7" s="70"/>
      <c r="R7" s="70"/>
      <c r="S7" s="70"/>
      <c r="T7" s="70"/>
      <c r="U7" s="70"/>
      <c r="V7" s="70"/>
      <c r="W7" s="70"/>
      <c r="X7" s="70"/>
      <c r="Y7" s="70"/>
      <c r="Z7" s="70"/>
    </row>
    <row r="8" spans="1:26" ht="10.5" customHeight="1" x14ac:dyDescent="0.25">
      <c r="A8" s="70" t="s">
        <v>286</v>
      </c>
      <c r="B8" s="70" t="s">
        <v>287</v>
      </c>
      <c r="C8" s="70">
        <f t="shared" si="0"/>
        <v>2017</v>
      </c>
      <c r="D8" s="71" t="s">
        <v>288</v>
      </c>
      <c r="E8" s="70"/>
      <c r="F8" s="70"/>
      <c r="G8" s="70"/>
      <c r="H8" s="70"/>
      <c r="I8" s="70"/>
      <c r="J8" s="70"/>
      <c r="K8" s="70"/>
      <c r="L8" s="70"/>
      <c r="M8" s="70"/>
      <c r="N8" s="70"/>
      <c r="O8" s="70"/>
      <c r="P8" s="70"/>
      <c r="Q8" s="70"/>
      <c r="R8" s="70"/>
      <c r="S8" s="70"/>
      <c r="T8" s="70"/>
      <c r="U8" s="70"/>
      <c r="V8" s="70"/>
      <c r="W8" s="70"/>
      <c r="X8" s="70"/>
      <c r="Y8" s="70"/>
      <c r="Z8" s="70"/>
    </row>
    <row r="9" spans="1:26" ht="10.5" customHeight="1" x14ac:dyDescent="0.25">
      <c r="A9" s="70" t="s">
        <v>289</v>
      </c>
      <c r="B9" s="70" t="s">
        <v>290</v>
      </c>
      <c r="C9" s="70">
        <f t="shared" si="0"/>
        <v>2018</v>
      </c>
      <c r="D9" s="71" t="s">
        <v>291</v>
      </c>
      <c r="E9" s="70"/>
      <c r="F9" s="70"/>
      <c r="G9" s="70"/>
      <c r="H9" s="70"/>
      <c r="I9" s="70"/>
      <c r="J9" s="70"/>
      <c r="K9" s="70"/>
      <c r="L9" s="70"/>
      <c r="M9" s="70"/>
      <c r="N9" s="70"/>
      <c r="O9" s="70"/>
      <c r="P9" s="70"/>
      <c r="Q9" s="70"/>
      <c r="R9" s="70"/>
      <c r="S9" s="70"/>
      <c r="T9" s="70"/>
      <c r="U9" s="70"/>
      <c r="V9" s="70"/>
      <c r="W9" s="70"/>
      <c r="X9" s="70"/>
      <c r="Y9" s="70"/>
      <c r="Z9" s="70"/>
    </row>
    <row r="10" spans="1:26" ht="10.5" customHeight="1" x14ac:dyDescent="0.25">
      <c r="A10" s="70" t="s">
        <v>292</v>
      </c>
      <c r="B10" s="70" t="s">
        <v>293</v>
      </c>
      <c r="C10" s="70">
        <f t="shared" si="0"/>
        <v>2019</v>
      </c>
      <c r="D10" s="71" t="s">
        <v>294</v>
      </c>
      <c r="E10" s="70"/>
      <c r="F10" s="70"/>
      <c r="G10" s="70"/>
      <c r="H10" s="70"/>
      <c r="I10" s="70"/>
      <c r="J10" s="70"/>
      <c r="K10" s="70"/>
      <c r="L10" s="70"/>
      <c r="M10" s="70"/>
      <c r="N10" s="70"/>
      <c r="O10" s="70"/>
      <c r="P10" s="70"/>
      <c r="Q10" s="70"/>
      <c r="R10" s="70"/>
      <c r="S10" s="70"/>
      <c r="T10" s="70"/>
      <c r="U10" s="70"/>
      <c r="V10" s="70"/>
      <c r="W10" s="70"/>
      <c r="X10" s="70"/>
      <c r="Y10" s="70"/>
      <c r="Z10" s="70"/>
    </row>
    <row r="11" spans="1:26" ht="10.5" customHeight="1" x14ac:dyDescent="0.25">
      <c r="A11" s="70" t="s">
        <v>295</v>
      </c>
      <c r="B11" s="70" t="s">
        <v>296</v>
      </c>
      <c r="C11" s="70">
        <f t="shared" si="0"/>
        <v>2020</v>
      </c>
      <c r="D11" s="71" t="s">
        <v>297</v>
      </c>
      <c r="E11" s="70"/>
      <c r="F11" s="70"/>
      <c r="G11" s="70"/>
      <c r="H11" s="70"/>
      <c r="I11" s="70"/>
      <c r="J11" s="70"/>
      <c r="K11" s="70"/>
      <c r="L11" s="70"/>
      <c r="M11" s="70"/>
      <c r="N11" s="70"/>
      <c r="O11" s="70"/>
      <c r="P11" s="70"/>
      <c r="Q11" s="70"/>
      <c r="R11" s="70"/>
      <c r="S11" s="70"/>
      <c r="T11" s="70"/>
      <c r="U11" s="70"/>
      <c r="V11" s="70"/>
      <c r="W11" s="70"/>
      <c r="X11" s="70"/>
      <c r="Y11" s="70"/>
      <c r="Z11" s="70"/>
    </row>
    <row r="12" spans="1:26" ht="10.5" customHeight="1" x14ac:dyDescent="0.25">
      <c r="A12" s="70" t="s">
        <v>298</v>
      </c>
      <c r="B12" s="70" t="s">
        <v>299</v>
      </c>
      <c r="C12" s="70">
        <f t="shared" si="0"/>
        <v>2021</v>
      </c>
      <c r="D12" s="71" t="s">
        <v>300</v>
      </c>
      <c r="E12" s="70"/>
      <c r="F12" s="70"/>
      <c r="G12" s="70"/>
      <c r="H12" s="70"/>
      <c r="I12" s="70"/>
      <c r="J12" s="70"/>
      <c r="K12" s="70"/>
      <c r="L12" s="70"/>
      <c r="M12" s="70"/>
      <c r="N12" s="70"/>
      <c r="O12" s="70"/>
      <c r="P12" s="70"/>
      <c r="Q12" s="70"/>
      <c r="R12" s="70"/>
      <c r="S12" s="70"/>
      <c r="T12" s="70"/>
      <c r="U12" s="70"/>
      <c r="V12" s="70"/>
      <c r="W12" s="70"/>
      <c r="X12" s="70"/>
      <c r="Y12" s="70"/>
      <c r="Z12" s="70"/>
    </row>
    <row r="13" spans="1:26" ht="10.5" customHeight="1" x14ac:dyDescent="0.25">
      <c r="A13" s="70" t="s">
        <v>301</v>
      </c>
      <c r="B13" s="70" t="s">
        <v>302</v>
      </c>
      <c r="C13" s="70">
        <f t="shared" si="0"/>
        <v>2022</v>
      </c>
      <c r="D13" s="71" t="s">
        <v>303</v>
      </c>
      <c r="E13" s="70"/>
      <c r="F13" s="70"/>
      <c r="G13" s="70"/>
      <c r="H13" s="70"/>
      <c r="I13" s="70"/>
      <c r="J13" s="70"/>
      <c r="K13" s="70"/>
      <c r="L13" s="70"/>
      <c r="M13" s="70"/>
      <c r="N13" s="70"/>
      <c r="O13" s="70"/>
      <c r="P13" s="70"/>
      <c r="Q13" s="70"/>
      <c r="R13" s="70"/>
      <c r="S13" s="70"/>
      <c r="T13" s="70"/>
      <c r="U13" s="70"/>
      <c r="V13" s="70"/>
      <c r="W13" s="70"/>
      <c r="X13" s="70"/>
      <c r="Y13" s="70"/>
      <c r="Z13" s="70"/>
    </row>
    <row r="14" spans="1:26" ht="10.5" customHeight="1" x14ac:dyDescent="0.25">
      <c r="A14" s="70"/>
      <c r="B14" s="70" t="s">
        <v>304</v>
      </c>
      <c r="C14" s="70">
        <f t="shared" si="0"/>
        <v>2023</v>
      </c>
      <c r="D14" s="71" t="s">
        <v>305</v>
      </c>
      <c r="E14" s="70"/>
      <c r="F14" s="70"/>
      <c r="G14" s="70"/>
      <c r="H14" s="70"/>
      <c r="I14" s="70"/>
      <c r="J14" s="70"/>
      <c r="K14" s="70"/>
      <c r="L14" s="70"/>
      <c r="M14" s="70"/>
      <c r="N14" s="70"/>
      <c r="O14" s="70"/>
      <c r="P14" s="70"/>
      <c r="Q14" s="70"/>
      <c r="R14" s="70"/>
      <c r="S14" s="70"/>
      <c r="T14" s="70"/>
      <c r="U14" s="70"/>
      <c r="V14" s="70"/>
      <c r="W14" s="70"/>
      <c r="X14" s="70"/>
      <c r="Y14" s="70"/>
      <c r="Z14" s="70"/>
    </row>
    <row r="15" spans="1:26" ht="10.5" customHeight="1" x14ac:dyDescent="0.25">
      <c r="A15" s="70"/>
      <c r="B15" s="70" t="s">
        <v>306</v>
      </c>
      <c r="C15" s="70">
        <f t="shared" si="0"/>
        <v>2024</v>
      </c>
      <c r="D15" s="71" t="s">
        <v>307</v>
      </c>
      <c r="E15" s="70"/>
      <c r="F15" s="70"/>
      <c r="G15" s="70"/>
      <c r="H15" s="70"/>
      <c r="I15" s="70"/>
      <c r="J15" s="70"/>
      <c r="K15" s="70"/>
      <c r="L15" s="70"/>
      <c r="M15" s="70"/>
      <c r="N15" s="70"/>
      <c r="O15" s="70"/>
      <c r="P15" s="70"/>
      <c r="Q15" s="70"/>
      <c r="R15" s="70"/>
      <c r="S15" s="70"/>
      <c r="T15" s="70"/>
      <c r="U15" s="70"/>
      <c r="V15" s="70"/>
      <c r="W15" s="70"/>
      <c r="X15" s="70"/>
      <c r="Y15" s="70"/>
      <c r="Z15" s="70"/>
    </row>
    <row r="16" spans="1:26" ht="10.5" customHeight="1" x14ac:dyDescent="0.25">
      <c r="A16" s="70"/>
      <c r="B16" s="70" t="s">
        <v>308</v>
      </c>
      <c r="C16" s="70">
        <f t="shared" si="0"/>
        <v>2025</v>
      </c>
      <c r="D16" s="71" t="s">
        <v>309</v>
      </c>
      <c r="E16" s="70"/>
      <c r="F16" s="70"/>
      <c r="G16" s="70"/>
      <c r="H16" s="70"/>
      <c r="I16" s="70"/>
      <c r="J16" s="70"/>
      <c r="K16" s="70"/>
      <c r="L16" s="70"/>
      <c r="M16" s="70"/>
      <c r="N16" s="70"/>
      <c r="O16" s="70"/>
      <c r="P16" s="70"/>
      <c r="Q16" s="70"/>
      <c r="R16" s="70"/>
      <c r="S16" s="70"/>
      <c r="T16" s="70"/>
      <c r="U16" s="70"/>
      <c r="V16" s="70"/>
      <c r="W16" s="70"/>
      <c r="X16" s="70"/>
      <c r="Y16" s="70"/>
      <c r="Z16" s="70"/>
    </row>
    <row r="17" spans="1:26" ht="10.5" customHeight="1" x14ac:dyDescent="0.25">
      <c r="A17" s="70"/>
      <c r="B17" s="70" t="s">
        <v>310</v>
      </c>
      <c r="C17" s="70">
        <f t="shared" si="0"/>
        <v>2026</v>
      </c>
      <c r="D17" s="70"/>
      <c r="E17" s="70"/>
      <c r="F17" s="70"/>
      <c r="G17" s="70"/>
      <c r="H17" s="70"/>
      <c r="I17" s="70"/>
      <c r="J17" s="70"/>
      <c r="K17" s="70"/>
      <c r="L17" s="70"/>
      <c r="M17" s="70"/>
      <c r="N17" s="70"/>
      <c r="O17" s="70"/>
      <c r="P17" s="70"/>
      <c r="Q17" s="70"/>
      <c r="R17" s="70"/>
      <c r="S17" s="70"/>
      <c r="T17" s="70"/>
      <c r="U17" s="70"/>
      <c r="V17" s="70"/>
      <c r="W17" s="70"/>
      <c r="X17" s="70"/>
      <c r="Y17" s="70"/>
      <c r="Z17" s="70"/>
    </row>
    <row r="18" spans="1:26" ht="10.5" customHeight="1" x14ac:dyDescent="0.25">
      <c r="A18" s="70"/>
      <c r="B18" s="70" t="s">
        <v>311</v>
      </c>
      <c r="C18" s="70">
        <f t="shared" si="0"/>
        <v>2027</v>
      </c>
      <c r="D18" s="70"/>
      <c r="E18" s="70"/>
      <c r="F18" s="70"/>
      <c r="G18" s="70"/>
      <c r="H18" s="70"/>
      <c r="I18" s="70"/>
      <c r="J18" s="70"/>
      <c r="K18" s="70"/>
      <c r="L18" s="70"/>
      <c r="M18" s="70"/>
      <c r="N18" s="70"/>
      <c r="O18" s="70"/>
      <c r="P18" s="70"/>
      <c r="Q18" s="70"/>
      <c r="R18" s="70"/>
      <c r="S18" s="70"/>
      <c r="T18" s="70"/>
      <c r="U18" s="70"/>
      <c r="V18" s="70"/>
      <c r="W18" s="70"/>
      <c r="X18" s="70"/>
      <c r="Y18" s="70"/>
      <c r="Z18" s="70"/>
    </row>
    <row r="19" spans="1:26" ht="10.5" customHeight="1" x14ac:dyDescent="0.25">
      <c r="A19" s="70"/>
      <c r="B19" s="70" t="s">
        <v>312</v>
      </c>
      <c r="C19" s="70">
        <f t="shared" si="0"/>
        <v>2028</v>
      </c>
      <c r="D19" s="70"/>
      <c r="E19" s="70"/>
      <c r="F19" s="70"/>
      <c r="G19" s="70"/>
      <c r="H19" s="70"/>
      <c r="I19" s="70"/>
      <c r="J19" s="70"/>
      <c r="K19" s="70"/>
      <c r="L19" s="70"/>
      <c r="M19" s="70"/>
      <c r="N19" s="70"/>
      <c r="O19" s="70"/>
      <c r="P19" s="70"/>
      <c r="Q19" s="70"/>
      <c r="R19" s="70"/>
      <c r="S19" s="70"/>
      <c r="T19" s="70"/>
      <c r="U19" s="70"/>
      <c r="V19" s="70"/>
      <c r="W19" s="70"/>
      <c r="X19" s="70"/>
      <c r="Y19" s="70"/>
      <c r="Z19" s="70"/>
    </row>
    <row r="20" spans="1:26" ht="10.5" customHeight="1" x14ac:dyDescent="0.25">
      <c r="A20" s="70"/>
      <c r="B20" s="70" t="s">
        <v>313</v>
      </c>
      <c r="C20" s="70">
        <f t="shared" si="0"/>
        <v>2029</v>
      </c>
      <c r="D20" s="70"/>
      <c r="E20" s="70"/>
      <c r="F20" s="70"/>
      <c r="G20" s="70"/>
      <c r="H20" s="70"/>
      <c r="I20" s="70"/>
      <c r="J20" s="70"/>
      <c r="K20" s="70"/>
      <c r="L20" s="70"/>
      <c r="M20" s="70"/>
      <c r="N20" s="70"/>
      <c r="O20" s="70"/>
      <c r="P20" s="70"/>
      <c r="Q20" s="70"/>
      <c r="R20" s="70"/>
      <c r="S20" s="70"/>
      <c r="T20" s="70"/>
      <c r="U20" s="70"/>
      <c r="V20" s="70"/>
      <c r="W20" s="70"/>
      <c r="X20" s="70"/>
      <c r="Y20" s="70"/>
      <c r="Z20" s="70"/>
    </row>
    <row r="21" spans="1:26" ht="10.5" customHeight="1" x14ac:dyDescent="0.25">
      <c r="A21" s="70"/>
      <c r="B21" s="70" t="s">
        <v>314</v>
      </c>
      <c r="C21" s="70">
        <f t="shared" si="0"/>
        <v>2030</v>
      </c>
      <c r="D21" s="70"/>
      <c r="E21" s="70"/>
      <c r="F21" s="70"/>
      <c r="G21" s="70"/>
      <c r="H21" s="70"/>
      <c r="I21" s="70"/>
      <c r="J21" s="70"/>
      <c r="K21" s="70"/>
      <c r="L21" s="70"/>
      <c r="M21" s="70"/>
      <c r="N21" s="70"/>
      <c r="O21" s="70"/>
      <c r="P21" s="70"/>
      <c r="Q21" s="70"/>
      <c r="R21" s="70"/>
      <c r="S21" s="70"/>
      <c r="T21" s="70"/>
      <c r="U21" s="70"/>
      <c r="V21" s="70"/>
      <c r="W21" s="70"/>
      <c r="X21" s="70"/>
      <c r="Y21" s="70"/>
      <c r="Z21" s="70"/>
    </row>
    <row r="22" spans="1:26" ht="10.5" customHeight="1" x14ac:dyDescent="0.25">
      <c r="A22" s="70"/>
      <c r="B22" s="70" t="s">
        <v>315</v>
      </c>
      <c r="C22" s="70"/>
      <c r="D22" s="70"/>
      <c r="E22" s="70"/>
      <c r="F22" s="70"/>
      <c r="G22" s="70"/>
      <c r="H22" s="70"/>
      <c r="I22" s="70"/>
      <c r="J22" s="70"/>
      <c r="K22" s="70"/>
      <c r="L22" s="70"/>
      <c r="M22" s="70"/>
      <c r="N22" s="70"/>
      <c r="O22" s="70"/>
      <c r="P22" s="70"/>
      <c r="Q22" s="70"/>
      <c r="R22" s="70"/>
      <c r="S22" s="70"/>
      <c r="T22" s="70"/>
      <c r="U22" s="70"/>
      <c r="V22" s="70"/>
      <c r="W22" s="70"/>
      <c r="X22" s="70"/>
      <c r="Y22" s="70"/>
      <c r="Z22" s="70"/>
    </row>
    <row r="23" spans="1:26" ht="10.5" customHeight="1" x14ac:dyDescent="0.25">
      <c r="A23" s="70"/>
      <c r="B23" s="70" t="s">
        <v>316</v>
      </c>
      <c r="C23" s="70"/>
      <c r="D23" s="70"/>
      <c r="E23" s="70"/>
      <c r="F23" s="70"/>
      <c r="G23" s="70"/>
      <c r="H23" s="70"/>
      <c r="I23" s="70"/>
      <c r="J23" s="70"/>
      <c r="K23" s="70"/>
      <c r="L23" s="70"/>
      <c r="M23" s="70"/>
      <c r="N23" s="70"/>
      <c r="O23" s="70"/>
      <c r="P23" s="70"/>
      <c r="Q23" s="70"/>
      <c r="R23" s="70"/>
      <c r="S23" s="70"/>
      <c r="T23" s="70"/>
      <c r="U23" s="70"/>
      <c r="V23" s="70"/>
      <c r="W23" s="70"/>
      <c r="X23" s="70"/>
      <c r="Y23" s="70"/>
      <c r="Z23" s="70"/>
    </row>
    <row r="24" spans="1:26" ht="10.5" customHeight="1" x14ac:dyDescent="0.25">
      <c r="A24" s="70"/>
      <c r="B24" s="70" t="s">
        <v>317</v>
      </c>
      <c r="C24" s="70"/>
      <c r="D24" s="70"/>
      <c r="E24" s="70"/>
      <c r="F24" s="70"/>
      <c r="G24" s="70"/>
      <c r="H24" s="70"/>
      <c r="I24" s="70"/>
      <c r="J24" s="70"/>
      <c r="K24" s="70"/>
      <c r="L24" s="70"/>
      <c r="M24" s="70"/>
      <c r="N24" s="70"/>
      <c r="O24" s="70"/>
      <c r="P24" s="70"/>
      <c r="Q24" s="70"/>
      <c r="R24" s="70"/>
      <c r="S24" s="70"/>
      <c r="T24" s="70"/>
      <c r="U24" s="70"/>
      <c r="V24" s="70"/>
      <c r="W24" s="70"/>
      <c r="X24" s="70"/>
      <c r="Y24" s="70"/>
      <c r="Z24" s="70"/>
    </row>
    <row r="25" spans="1:26" ht="10.5" customHeight="1" x14ac:dyDescent="0.25">
      <c r="A25" s="70"/>
      <c r="B25" s="70" t="s">
        <v>318</v>
      </c>
      <c r="C25" s="70"/>
      <c r="D25" s="70"/>
      <c r="E25" s="70"/>
      <c r="F25" s="70"/>
      <c r="G25" s="70"/>
      <c r="H25" s="70"/>
      <c r="I25" s="70"/>
      <c r="J25" s="70"/>
      <c r="K25" s="70"/>
      <c r="L25" s="70"/>
      <c r="M25" s="70"/>
      <c r="N25" s="70"/>
      <c r="O25" s="70"/>
      <c r="P25" s="70"/>
      <c r="Q25" s="70"/>
      <c r="R25" s="70"/>
      <c r="S25" s="70"/>
      <c r="T25" s="70"/>
      <c r="U25" s="70"/>
      <c r="V25" s="70"/>
      <c r="W25" s="70"/>
      <c r="X25" s="70"/>
      <c r="Y25" s="70"/>
      <c r="Z25" s="70"/>
    </row>
    <row r="26" spans="1:26" ht="10.5" customHeight="1" x14ac:dyDescent="0.25">
      <c r="A26" s="70"/>
      <c r="B26" s="70" t="s">
        <v>319</v>
      </c>
      <c r="C26" s="70"/>
      <c r="D26" s="70"/>
      <c r="E26" s="70"/>
      <c r="F26" s="70"/>
      <c r="G26" s="70"/>
      <c r="H26" s="70"/>
      <c r="I26" s="70"/>
      <c r="J26" s="70"/>
      <c r="K26" s="70"/>
      <c r="L26" s="70"/>
      <c r="M26" s="70"/>
      <c r="N26" s="70"/>
      <c r="O26" s="70"/>
      <c r="P26" s="70"/>
      <c r="Q26" s="70"/>
      <c r="R26" s="70"/>
      <c r="S26" s="70"/>
      <c r="T26" s="70"/>
      <c r="U26" s="70"/>
      <c r="V26" s="70"/>
      <c r="W26" s="70"/>
      <c r="X26" s="70"/>
      <c r="Y26" s="70"/>
      <c r="Z26" s="70"/>
    </row>
    <row r="27" spans="1:26" ht="10.5" customHeight="1" x14ac:dyDescent="0.25">
      <c r="A27" s="70"/>
      <c r="B27" s="70" t="s">
        <v>320</v>
      </c>
      <c r="C27" s="70"/>
      <c r="D27" s="70"/>
      <c r="E27" s="70"/>
      <c r="F27" s="70"/>
      <c r="G27" s="70"/>
      <c r="H27" s="70"/>
      <c r="I27" s="70"/>
      <c r="J27" s="70"/>
      <c r="K27" s="70"/>
      <c r="L27" s="70"/>
      <c r="M27" s="70"/>
      <c r="N27" s="70"/>
      <c r="O27" s="70"/>
      <c r="P27" s="70"/>
      <c r="Q27" s="70"/>
      <c r="R27" s="70"/>
      <c r="S27" s="70"/>
      <c r="T27" s="70"/>
      <c r="U27" s="70"/>
      <c r="V27" s="70"/>
      <c r="W27" s="70"/>
      <c r="X27" s="70"/>
      <c r="Y27" s="70"/>
      <c r="Z27" s="70"/>
    </row>
    <row r="28" spans="1:26" ht="10.5" customHeight="1" x14ac:dyDescent="0.25">
      <c r="A28" s="70"/>
      <c r="B28" s="70" t="s">
        <v>321</v>
      </c>
      <c r="C28" s="70"/>
      <c r="D28" s="70"/>
      <c r="E28" s="70"/>
      <c r="F28" s="70"/>
      <c r="G28" s="70"/>
      <c r="H28" s="70"/>
      <c r="I28" s="70"/>
      <c r="J28" s="70"/>
      <c r="K28" s="70"/>
      <c r="L28" s="70"/>
      <c r="M28" s="70"/>
      <c r="N28" s="70"/>
      <c r="O28" s="70"/>
      <c r="P28" s="70"/>
      <c r="Q28" s="70"/>
      <c r="R28" s="70"/>
      <c r="S28" s="70"/>
      <c r="T28" s="70"/>
      <c r="U28" s="70"/>
      <c r="V28" s="70"/>
      <c r="W28" s="70"/>
      <c r="X28" s="70"/>
      <c r="Y28" s="70"/>
      <c r="Z28" s="70"/>
    </row>
    <row r="29" spans="1:26" ht="10.5" customHeight="1" x14ac:dyDescent="0.25">
      <c r="A29" s="70"/>
      <c r="B29" s="70" t="s">
        <v>322</v>
      </c>
      <c r="C29" s="70"/>
      <c r="D29" s="70"/>
      <c r="E29" s="70"/>
      <c r="F29" s="70"/>
      <c r="G29" s="70"/>
      <c r="H29" s="70"/>
      <c r="I29" s="70"/>
      <c r="J29" s="70"/>
      <c r="K29" s="70"/>
      <c r="L29" s="70"/>
      <c r="M29" s="70"/>
      <c r="N29" s="70"/>
      <c r="O29" s="70"/>
      <c r="P29" s="70"/>
      <c r="Q29" s="70"/>
      <c r="R29" s="70"/>
      <c r="S29" s="70"/>
      <c r="T29" s="70"/>
      <c r="U29" s="70"/>
      <c r="V29" s="70"/>
      <c r="W29" s="70"/>
      <c r="X29" s="70"/>
      <c r="Y29" s="70"/>
      <c r="Z29" s="70"/>
    </row>
    <row r="30" spans="1:26" ht="10.5" customHeight="1" x14ac:dyDescent="0.25">
      <c r="A30" s="70"/>
      <c r="B30" s="70" t="s">
        <v>323</v>
      </c>
      <c r="C30" s="70"/>
      <c r="D30" s="70"/>
      <c r="E30" s="70"/>
      <c r="F30" s="70"/>
      <c r="G30" s="70"/>
      <c r="H30" s="70"/>
      <c r="I30" s="70"/>
      <c r="J30" s="70"/>
      <c r="K30" s="70"/>
      <c r="L30" s="70"/>
      <c r="M30" s="70"/>
      <c r="N30" s="70"/>
      <c r="O30" s="70"/>
      <c r="P30" s="70"/>
      <c r="Q30" s="70"/>
      <c r="R30" s="70"/>
      <c r="S30" s="70"/>
      <c r="T30" s="70"/>
      <c r="U30" s="70"/>
      <c r="V30" s="70"/>
      <c r="W30" s="70"/>
      <c r="X30" s="70"/>
      <c r="Y30" s="70"/>
      <c r="Z30" s="70"/>
    </row>
    <row r="31" spans="1:26" ht="10.5" customHeight="1" x14ac:dyDescent="0.25">
      <c r="A31" s="70"/>
      <c r="B31" s="70" t="s">
        <v>324</v>
      </c>
      <c r="C31" s="70"/>
      <c r="D31" s="70"/>
      <c r="E31" s="70"/>
      <c r="F31" s="70"/>
      <c r="G31" s="70"/>
      <c r="H31" s="70"/>
      <c r="I31" s="70"/>
      <c r="J31" s="70"/>
      <c r="K31" s="70"/>
      <c r="L31" s="70"/>
      <c r="M31" s="70"/>
      <c r="N31" s="70"/>
      <c r="O31" s="70"/>
      <c r="P31" s="70"/>
      <c r="Q31" s="70"/>
      <c r="R31" s="70"/>
      <c r="S31" s="70"/>
      <c r="T31" s="70"/>
      <c r="U31" s="70"/>
      <c r="V31" s="70"/>
      <c r="W31" s="70"/>
      <c r="X31" s="70"/>
      <c r="Y31" s="70"/>
      <c r="Z31" s="70"/>
    </row>
    <row r="32" spans="1:26" ht="10.5" customHeight="1" x14ac:dyDescent="0.25">
      <c r="A32" s="70"/>
      <c r="B32" s="70" t="s">
        <v>325</v>
      </c>
      <c r="C32" s="70"/>
      <c r="D32" s="70"/>
      <c r="E32" s="70"/>
      <c r="F32" s="70"/>
      <c r="G32" s="70"/>
      <c r="H32" s="70"/>
      <c r="I32" s="70"/>
      <c r="J32" s="70"/>
      <c r="K32" s="70"/>
      <c r="L32" s="70"/>
      <c r="M32" s="70"/>
      <c r="N32" s="70"/>
      <c r="O32" s="70"/>
      <c r="P32" s="70"/>
      <c r="Q32" s="70"/>
      <c r="R32" s="70"/>
      <c r="S32" s="70"/>
      <c r="T32" s="70"/>
      <c r="U32" s="70"/>
      <c r="V32" s="70"/>
      <c r="W32" s="70"/>
      <c r="X32" s="70"/>
      <c r="Y32" s="70"/>
      <c r="Z32" s="70"/>
    </row>
    <row r="33" spans="1:26" ht="10.5" customHeight="1" x14ac:dyDescent="0.25">
      <c r="A33" s="70"/>
      <c r="B33" s="70" t="s">
        <v>326</v>
      </c>
      <c r="C33" s="70"/>
      <c r="D33" s="70"/>
      <c r="E33" s="70"/>
      <c r="F33" s="70"/>
      <c r="G33" s="70"/>
      <c r="H33" s="70"/>
      <c r="I33" s="70"/>
      <c r="J33" s="70"/>
      <c r="K33" s="70"/>
      <c r="L33" s="70"/>
      <c r="M33" s="70"/>
      <c r="N33" s="70"/>
      <c r="O33" s="70"/>
      <c r="P33" s="70"/>
      <c r="Q33" s="70"/>
      <c r="R33" s="70"/>
      <c r="S33" s="70"/>
      <c r="T33" s="70"/>
      <c r="U33" s="70"/>
      <c r="V33" s="70"/>
      <c r="W33" s="70"/>
      <c r="X33" s="70"/>
      <c r="Y33" s="70"/>
      <c r="Z33" s="70"/>
    </row>
    <row r="34" spans="1:26" ht="10.5" customHeight="1" x14ac:dyDescent="0.25">
      <c r="A34" s="70"/>
      <c r="B34" s="70" t="s">
        <v>327</v>
      </c>
      <c r="C34" s="70"/>
      <c r="D34" s="70"/>
      <c r="E34" s="70"/>
      <c r="F34" s="70"/>
      <c r="G34" s="70"/>
      <c r="H34" s="70"/>
      <c r="I34" s="70"/>
      <c r="J34" s="70"/>
      <c r="K34" s="70"/>
      <c r="L34" s="70"/>
      <c r="M34" s="70"/>
      <c r="N34" s="70"/>
      <c r="O34" s="70"/>
      <c r="P34" s="70"/>
      <c r="Q34" s="70"/>
      <c r="R34" s="70"/>
      <c r="S34" s="70"/>
      <c r="T34" s="70"/>
      <c r="U34" s="70"/>
      <c r="V34" s="70"/>
      <c r="W34" s="70"/>
      <c r="X34" s="70"/>
      <c r="Y34" s="70"/>
      <c r="Z34" s="70"/>
    </row>
    <row r="35" spans="1:26" ht="10.5" customHeight="1" x14ac:dyDescent="0.25">
      <c r="A35" s="70"/>
      <c r="B35" s="70" t="s">
        <v>328</v>
      </c>
      <c r="C35" s="70"/>
      <c r="D35" s="70"/>
      <c r="E35" s="70"/>
      <c r="F35" s="70"/>
      <c r="G35" s="70"/>
      <c r="H35" s="70"/>
      <c r="I35" s="70"/>
      <c r="J35" s="70"/>
      <c r="K35" s="70"/>
      <c r="L35" s="70"/>
      <c r="M35" s="70"/>
      <c r="N35" s="70"/>
      <c r="O35" s="70"/>
      <c r="P35" s="70"/>
      <c r="Q35" s="70"/>
      <c r="R35" s="70"/>
      <c r="S35" s="70"/>
      <c r="T35" s="70"/>
      <c r="U35" s="70"/>
      <c r="V35" s="70"/>
      <c r="W35" s="70"/>
      <c r="X35" s="70"/>
      <c r="Y35" s="70"/>
      <c r="Z35" s="70"/>
    </row>
    <row r="36" spans="1:26" ht="10.5" customHeight="1" x14ac:dyDescent="0.25">
      <c r="A36" s="70"/>
      <c r="B36" s="70" t="s">
        <v>329</v>
      </c>
      <c r="C36" s="70"/>
      <c r="D36" s="70"/>
      <c r="E36" s="70"/>
      <c r="F36" s="70"/>
      <c r="G36" s="70"/>
      <c r="H36" s="70"/>
      <c r="I36" s="70"/>
      <c r="J36" s="70"/>
      <c r="K36" s="70"/>
      <c r="L36" s="70"/>
      <c r="M36" s="70"/>
      <c r="N36" s="70"/>
      <c r="O36" s="70"/>
      <c r="P36" s="70"/>
      <c r="Q36" s="70"/>
      <c r="R36" s="70"/>
      <c r="S36" s="70"/>
      <c r="T36" s="70"/>
      <c r="U36" s="70"/>
      <c r="V36" s="70"/>
      <c r="W36" s="70"/>
      <c r="X36" s="70"/>
      <c r="Y36" s="70"/>
      <c r="Z36" s="70"/>
    </row>
    <row r="37" spans="1:26" ht="10.5" customHeight="1" x14ac:dyDescent="0.25">
      <c r="A37" s="70"/>
      <c r="B37" s="70" t="s">
        <v>330</v>
      </c>
      <c r="C37" s="70"/>
      <c r="D37" s="70"/>
      <c r="E37" s="70"/>
      <c r="F37" s="70"/>
      <c r="G37" s="70"/>
      <c r="H37" s="70"/>
      <c r="I37" s="70"/>
      <c r="J37" s="70"/>
      <c r="K37" s="70"/>
      <c r="L37" s="70"/>
      <c r="M37" s="70"/>
      <c r="N37" s="70"/>
      <c r="O37" s="70"/>
      <c r="P37" s="70"/>
      <c r="Q37" s="70"/>
      <c r="R37" s="70"/>
      <c r="S37" s="70"/>
      <c r="T37" s="70"/>
      <c r="U37" s="70"/>
      <c r="V37" s="70"/>
      <c r="W37" s="70"/>
      <c r="X37" s="70"/>
      <c r="Y37" s="70"/>
      <c r="Z37" s="70"/>
    </row>
    <row r="38" spans="1:26" ht="10.5" customHeight="1" x14ac:dyDescent="0.25">
      <c r="A38" s="70"/>
      <c r="B38" s="70" t="s">
        <v>331</v>
      </c>
      <c r="C38" s="70"/>
      <c r="D38" s="70"/>
      <c r="E38" s="70"/>
      <c r="F38" s="70"/>
      <c r="G38" s="70"/>
      <c r="H38" s="70"/>
      <c r="I38" s="70"/>
      <c r="J38" s="70"/>
      <c r="K38" s="70"/>
      <c r="L38" s="70"/>
      <c r="M38" s="70"/>
      <c r="N38" s="70"/>
      <c r="O38" s="70"/>
      <c r="P38" s="70"/>
      <c r="Q38" s="70"/>
      <c r="R38" s="70"/>
      <c r="S38" s="70"/>
      <c r="T38" s="70"/>
      <c r="U38" s="70"/>
      <c r="V38" s="70"/>
      <c r="W38" s="70"/>
      <c r="X38" s="70"/>
      <c r="Y38" s="70"/>
      <c r="Z38" s="70"/>
    </row>
    <row r="39" spans="1:26" ht="10.5" customHeight="1" x14ac:dyDescent="0.25">
      <c r="A39" s="70"/>
      <c r="B39" s="70" t="s">
        <v>332</v>
      </c>
      <c r="C39" s="70"/>
      <c r="D39" s="70"/>
      <c r="E39" s="70"/>
      <c r="F39" s="70"/>
      <c r="G39" s="70"/>
      <c r="H39" s="70"/>
      <c r="I39" s="70"/>
      <c r="J39" s="70"/>
      <c r="K39" s="70"/>
      <c r="L39" s="70"/>
      <c r="M39" s="70"/>
      <c r="N39" s="70"/>
      <c r="O39" s="70"/>
      <c r="P39" s="70"/>
      <c r="Q39" s="70"/>
      <c r="R39" s="70"/>
      <c r="S39" s="70"/>
      <c r="T39" s="70"/>
      <c r="U39" s="70"/>
      <c r="V39" s="70"/>
      <c r="W39" s="70"/>
      <c r="X39" s="70"/>
      <c r="Y39" s="70"/>
      <c r="Z39" s="70"/>
    </row>
    <row r="40" spans="1:26" ht="10.5" customHeight="1" x14ac:dyDescent="0.25">
      <c r="A40" s="70"/>
      <c r="B40" s="70" t="s">
        <v>333</v>
      </c>
      <c r="C40" s="70"/>
      <c r="D40" s="70"/>
      <c r="E40" s="70"/>
      <c r="F40" s="70"/>
      <c r="G40" s="70"/>
      <c r="H40" s="70"/>
      <c r="I40" s="70"/>
      <c r="J40" s="70"/>
      <c r="K40" s="70"/>
      <c r="L40" s="70"/>
      <c r="M40" s="70"/>
      <c r="N40" s="70"/>
      <c r="O40" s="70"/>
      <c r="P40" s="70"/>
      <c r="Q40" s="70"/>
      <c r="R40" s="70"/>
      <c r="S40" s="70"/>
      <c r="T40" s="70"/>
      <c r="U40" s="70"/>
      <c r="V40" s="70"/>
      <c r="W40" s="70"/>
      <c r="X40" s="70"/>
      <c r="Y40" s="70"/>
      <c r="Z40" s="70"/>
    </row>
    <row r="41" spans="1:26" ht="10.5" customHeight="1" x14ac:dyDescent="0.25">
      <c r="A41" s="70"/>
      <c r="B41" s="70" t="s">
        <v>334</v>
      </c>
      <c r="C41" s="70"/>
      <c r="D41" s="70"/>
      <c r="E41" s="70"/>
      <c r="F41" s="70"/>
      <c r="G41" s="70"/>
      <c r="H41" s="70"/>
      <c r="I41" s="70"/>
      <c r="J41" s="70"/>
      <c r="K41" s="70"/>
      <c r="L41" s="70"/>
      <c r="M41" s="70"/>
      <c r="N41" s="70"/>
      <c r="O41" s="70"/>
      <c r="P41" s="70"/>
      <c r="Q41" s="70"/>
      <c r="R41" s="70"/>
      <c r="S41" s="70"/>
      <c r="T41" s="70"/>
      <c r="U41" s="70"/>
      <c r="V41" s="70"/>
      <c r="W41" s="70"/>
      <c r="X41" s="70"/>
      <c r="Y41" s="70"/>
      <c r="Z41" s="70"/>
    </row>
    <row r="42" spans="1:26" ht="10.5" customHeight="1" x14ac:dyDescent="0.25">
      <c r="A42" s="70"/>
      <c r="B42" s="70" t="s">
        <v>335</v>
      </c>
      <c r="C42" s="70"/>
      <c r="D42" s="70"/>
      <c r="E42" s="70"/>
      <c r="F42" s="70"/>
      <c r="G42" s="70"/>
      <c r="H42" s="70"/>
      <c r="I42" s="70"/>
      <c r="J42" s="70"/>
      <c r="K42" s="70"/>
      <c r="L42" s="70"/>
      <c r="M42" s="70"/>
      <c r="N42" s="70"/>
      <c r="O42" s="70"/>
      <c r="P42" s="70"/>
      <c r="Q42" s="70"/>
      <c r="R42" s="70"/>
      <c r="S42" s="70"/>
      <c r="T42" s="70"/>
      <c r="U42" s="70"/>
      <c r="V42" s="70"/>
      <c r="W42" s="70"/>
      <c r="X42" s="70"/>
      <c r="Y42" s="70"/>
      <c r="Z42" s="70"/>
    </row>
    <row r="43" spans="1:26" ht="10.5" customHeight="1" x14ac:dyDescent="0.25">
      <c r="A43" s="70"/>
      <c r="B43" s="70" t="s">
        <v>336</v>
      </c>
      <c r="C43" s="70"/>
      <c r="D43" s="70"/>
      <c r="E43" s="70"/>
      <c r="F43" s="70"/>
      <c r="G43" s="70"/>
      <c r="H43" s="70"/>
      <c r="I43" s="70"/>
      <c r="J43" s="70"/>
      <c r="K43" s="70"/>
      <c r="L43" s="70"/>
      <c r="M43" s="70"/>
      <c r="N43" s="70"/>
      <c r="O43" s="70"/>
      <c r="P43" s="70"/>
      <c r="Q43" s="70"/>
      <c r="R43" s="70"/>
      <c r="S43" s="70"/>
      <c r="T43" s="70"/>
      <c r="U43" s="70"/>
      <c r="V43" s="70"/>
      <c r="W43" s="70"/>
      <c r="X43" s="70"/>
      <c r="Y43" s="70"/>
      <c r="Z43" s="70"/>
    </row>
    <row r="44" spans="1:26" ht="10.5" customHeight="1" x14ac:dyDescent="0.25">
      <c r="A44" s="70"/>
      <c r="B44" s="70" t="s">
        <v>337</v>
      </c>
      <c r="C44" s="70"/>
      <c r="D44" s="70"/>
      <c r="E44" s="70"/>
      <c r="F44" s="70"/>
      <c r="G44" s="70"/>
      <c r="H44" s="70"/>
      <c r="I44" s="70"/>
      <c r="J44" s="70"/>
      <c r="K44" s="70"/>
      <c r="L44" s="70"/>
      <c r="M44" s="70"/>
      <c r="N44" s="70"/>
      <c r="O44" s="70"/>
      <c r="P44" s="70"/>
      <c r="Q44" s="70"/>
      <c r="R44" s="70"/>
      <c r="S44" s="70"/>
      <c r="T44" s="70"/>
      <c r="U44" s="70"/>
      <c r="V44" s="70"/>
      <c r="W44" s="70"/>
      <c r="X44" s="70"/>
      <c r="Y44" s="70"/>
      <c r="Z44" s="70"/>
    </row>
    <row r="45" spans="1:26" ht="10.5" customHeight="1" x14ac:dyDescent="0.25">
      <c r="A45" s="70"/>
      <c r="B45" s="70" t="s">
        <v>338</v>
      </c>
      <c r="C45" s="70"/>
      <c r="D45" s="70"/>
      <c r="E45" s="70"/>
      <c r="F45" s="70"/>
      <c r="G45" s="70"/>
      <c r="H45" s="70"/>
      <c r="I45" s="70"/>
      <c r="J45" s="70"/>
      <c r="K45" s="70"/>
      <c r="L45" s="70"/>
      <c r="M45" s="70"/>
      <c r="N45" s="70"/>
      <c r="O45" s="70"/>
      <c r="P45" s="70"/>
      <c r="Q45" s="70"/>
      <c r="R45" s="70"/>
      <c r="S45" s="70"/>
      <c r="T45" s="70"/>
      <c r="U45" s="70"/>
      <c r="V45" s="70"/>
      <c r="W45" s="70"/>
      <c r="X45" s="70"/>
      <c r="Y45" s="70"/>
      <c r="Z45" s="70"/>
    </row>
    <row r="46" spans="1:26" ht="10.5" customHeight="1" x14ac:dyDescent="0.25">
      <c r="A46" s="70"/>
      <c r="B46" s="70" t="s">
        <v>339</v>
      </c>
      <c r="C46" s="70"/>
      <c r="D46" s="70"/>
      <c r="E46" s="70"/>
      <c r="F46" s="70"/>
      <c r="G46" s="70"/>
      <c r="H46" s="70"/>
      <c r="I46" s="70"/>
      <c r="J46" s="70"/>
      <c r="K46" s="70"/>
      <c r="L46" s="70"/>
      <c r="M46" s="70"/>
      <c r="N46" s="70"/>
      <c r="O46" s="70"/>
      <c r="P46" s="70"/>
      <c r="Q46" s="70"/>
      <c r="R46" s="70"/>
      <c r="S46" s="70"/>
      <c r="T46" s="70"/>
      <c r="U46" s="70"/>
      <c r="V46" s="70"/>
      <c r="W46" s="70"/>
      <c r="X46" s="70"/>
      <c r="Y46" s="70"/>
      <c r="Z46" s="70"/>
    </row>
    <row r="47" spans="1:26" ht="10.5" customHeight="1" x14ac:dyDescent="0.25">
      <c r="A47" s="70"/>
      <c r="B47" s="70" t="s">
        <v>340</v>
      </c>
      <c r="C47" s="70"/>
      <c r="D47" s="70"/>
      <c r="E47" s="70"/>
      <c r="F47" s="70"/>
      <c r="G47" s="70"/>
      <c r="H47" s="70"/>
      <c r="I47" s="70"/>
      <c r="J47" s="70"/>
      <c r="K47" s="70"/>
      <c r="L47" s="70"/>
      <c r="M47" s="70"/>
      <c r="N47" s="70"/>
      <c r="O47" s="70"/>
      <c r="P47" s="70"/>
      <c r="Q47" s="70"/>
      <c r="R47" s="70"/>
      <c r="S47" s="70"/>
      <c r="T47" s="70"/>
      <c r="U47" s="70"/>
      <c r="V47" s="70"/>
      <c r="W47" s="70"/>
      <c r="X47" s="70"/>
      <c r="Y47" s="70"/>
      <c r="Z47" s="70"/>
    </row>
    <row r="48" spans="1:26" ht="10.5" customHeight="1" x14ac:dyDescent="0.25">
      <c r="A48" s="70"/>
      <c r="B48" s="70" t="s">
        <v>341</v>
      </c>
      <c r="C48" s="70"/>
      <c r="D48" s="70"/>
      <c r="E48" s="70"/>
      <c r="F48" s="70"/>
      <c r="G48" s="70"/>
      <c r="H48" s="70"/>
      <c r="I48" s="70"/>
      <c r="J48" s="70"/>
      <c r="K48" s="70"/>
      <c r="L48" s="70"/>
      <c r="M48" s="70"/>
      <c r="N48" s="70"/>
      <c r="O48" s="70"/>
      <c r="P48" s="70"/>
      <c r="Q48" s="70"/>
      <c r="R48" s="70"/>
      <c r="S48" s="70"/>
      <c r="T48" s="70"/>
      <c r="U48" s="70"/>
      <c r="V48" s="70"/>
      <c r="W48" s="70"/>
      <c r="X48" s="70"/>
      <c r="Y48" s="70"/>
      <c r="Z48" s="70"/>
    </row>
    <row r="49" spans="1:26" ht="10.5" customHeight="1" x14ac:dyDescent="0.25">
      <c r="A49" s="70"/>
      <c r="B49" s="70" t="s">
        <v>342</v>
      </c>
      <c r="C49" s="70"/>
      <c r="D49" s="70"/>
      <c r="E49" s="70"/>
      <c r="F49" s="70"/>
      <c r="G49" s="70"/>
      <c r="H49" s="70"/>
      <c r="I49" s="70"/>
      <c r="J49" s="70"/>
      <c r="K49" s="70"/>
      <c r="L49" s="70"/>
      <c r="M49" s="70"/>
      <c r="N49" s="70"/>
      <c r="O49" s="70"/>
      <c r="P49" s="70"/>
      <c r="Q49" s="70"/>
      <c r="R49" s="70"/>
      <c r="S49" s="70"/>
      <c r="T49" s="70"/>
      <c r="U49" s="70"/>
      <c r="V49" s="70"/>
      <c r="W49" s="70"/>
      <c r="X49" s="70"/>
      <c r="Y49" s="70"/>
      <c r="Z49" s="70"/>
    </row>
    <row r="50" spans="1:26" ht="10.5" customHeight="1" x14ac:dyDescent="0.25">
      <c r="A50" s="70"/>
      <c r="B50" s="70" t="s">
        <v>343</v>
      </c>
      <c r="C50" s="70"/>
      <c r="D50" s="70"/>
      <c r="E50" s="70"/>
      <c r="F50" s="70"/>
      <c r="G50" s="70"/>
      <c r="H50" s="70"/>
      <c r="I50" s="70"/>
      <c r="J50" s="70"/>
      <c r="K50" s="70"/>
      <c r="L50" s="70"/>
      <c r="M50" s="70"/>
      <c r="N50" s="70"/>
      <c r="O50" s="70"/>
      <c r="P50" s="70"/>
      <c r="Q50" s="70"/>
      <c r="R50" s="70"/>
      <c r="S50" s="70"/>
      <c r="T50" s="70"/>
      <c r="U50" s="70"/>
      <c r="V50" s="70"/>
      <c r="W50" s="70"/>
      <c r="X50" s="70"/>
      <c r="Y50" s="70"/>
      <c r="Z50" s="70"/>
    </row>
    <row r="51" spans="1:26" ht="10.5" customHeight="1" x14ac:dyDescent="0.25">
      <c r="A51" s="70"/>
      <c r="B51" s="70" t="s">
        <v>344</v>
      </c>
      <c r="C51" s="70"/>
      <c r="D51" s="70"/>
      <c r="E51" s="70"/>
      <c r="F51" s="70"/>
      <c r="G51" s="70"/>
      <c r="H51" s="70"/>
      <c r="I51" s="70"/>
      <c r="J51" s="70"/>
      <c r="K51" s="70"/>
      <c r="L51" s="70"/>
      <c r="M51" s="70"/>
      <c r="N51" s="70"/>
      <c r="O51" s="70"/>
      <c r="P51" s="70"/>
      <c r="Q51" s="70"/>
      <c r="R51" s="70"/>
      <c r="S51" s="70"/>
      <c r="T51" s="70"/>
      <c r="U51" s="70"/>
      <c r="V51" s="70"/>
      <c r="W51" s="70"/>
      <c r="X51" s="70"/>
      <c r="Y51" s="70"/>
      <c r="Z51" s="70"/>
    </row>
    <row r="52" spans="1:26" ht="10.5" customHeight="1" x14ac:dyDescent="0.25">
      <c r="A52" s="70"/>
      <c r="B52" s="70" t="s">
        <v>345</v>
      </c>
      <c r="C52" s="70"/>
      <c r="D52" s="70"/>
      <c r="E52" s="70"/>
      <c r="F52" s="70"/>
      <c r="G52" s="70"/>
      <c r="H52" s="70"/>
      <c r="I52" s="70"/>
      <c r="J52" s="70"/>
      <c r="K52" s="70"/>
      <c r="L52" s="70"/>
      <c r="M52" s="70"/>
      <c r="N52" s="70"/>
      <c r="O52" s="70"/>
      <c r="P52" s="70"/>
      <c r="Q52" s="70"/>
      <c r="R52" s="70"/>
      <c r="S52" s="70"/>
      <c r="T52" s="70"/>
      <c r="U52" s="70"/>
      <c r="V52" s="70"/>
      <c r="W52" s="70"/>
      <c r="X52" s="70"/>
      <c r="Y52" s="70"/>
      <c r="Z52" s="70"/>
    </row>
    <row r="53" spans="1:26" ht="10.5" customHeight="1" x14ac:dyDescent="0.25">
      <c r="A53" s="70"/>
      <c r="B53" s="70" t="s">
        <v>346</v>
      </c>
      <c r="C53" s="70"/>
      <c r="D53" s="70"/>
      <c r="E53" s="70"/>
      <c r="F53" s="70"/>
      <c r="G53" s="70"/>
      <c r="H53" s="70"/>
      <c r="I53" s="70"/>
      <c r="J53" s="70"/>
      <c r="K53" s="70"/>
      <c r="L53" s="70"/>
      <c r="M53" s="70"/>
      <c r="N53" s="70"/>
      <c r="O53" s="70"/>
      <c r="P53" s="70"/>
      <c r="Q53" s="70"/>
      <c r="R53" s="70"/>
      <c r="S53" s="70"/>
      <c r="T53" s="70"/>
      <c r="U53" s="70"/>
      <c r="V53" s="70"/>
      <c r="W53" s="70"/>
      <c r="X53" s="70"/>
      <c r="Y53" s="70"/>
      <c r="Z53" s="70"/>
    </row>
    <row r="54" spans="1:26" ht="10.5" customHeight="1" x14ac:dyDescent="0.25">
      <c r="A54" s="70"/>
      <c r="B54" s="70" t="s">
        <v>347</v>
      </c>
      <c r="C54" s="70"/>
      <c r="D54" s="70"/>
      <c r="E54" s="70"/>
      <c r="F54" s="70"/>
      <c r="G54" s="70"/>
      <c r="H54" s="70"/>
      <c r="I54" s="70"/>
      <c r="J54" s="70"/>
      <c r="K54" s="70"/>
      <c r="L54" s="70"/>
      <c r="M54" s="70"/>
      <c r="N54" s="70"/>
      <c r="O54" s="70"/>
      <c r="P54" s="70"/>
      <c r="Q54" s="70"/>
      <c r="R54" s="70"/>
      <c r="S54" s="70"/>
      <c r="T54" s="70"/>
      <c r="U54" s="70"/>
      <c r="V54" s="70"/>
      <c r="W54" s="70"/>
      <c r="X54" s="70"/>
      <c r="Y54" s="70"/>
      <c r="Z54" s="70"/>
    </row>
    <row r="55" spans="1:26" ht="10.5" customHeight="1" x14ac:dyDescent="0.25">
      <c r="A55" s="70"/>
      <c r="B55" s="70" t="s">
        <v>348</v>
      </c>
      <c r="C55" s="70"/>
      <c r="D55" s="70"/>
      <c r="E55" s="70"/>
      <c r="F55" s="70"/>
      <c r="G55" s="70"/>
      <c r="H55" s="70"/>
      <c r="I55" s="70"/>
      <c r="J55" s="70"/>
      <c r="K55" s="70"/>
      <c r="L55" s="70"/>
      <c r="M55" s="70"/>
      <c r="N55" s="70"/>
      <c r="O55" s="70"/>
      <c r="P55" s="70"/>
      <c r="Q55" s="70"/>
      <c r="R55" s="70"/>
      <c r="S55" s="70"/>
      <c r="T55" s="70"/>
      <c r="U55" s="70"/>
      <c r="V55" s="70"/>
      <c r="W55" s="70"/>
      <c r="X55" s="70"/>
      <c r="Y55" s="70"/>
      <c r="Z55" s="70"/>
    </row>
    <row r="56" spans="1:26" ht="10.5" customHeight="1" x14ac:dyDescent="0.25">
      <c r="A56" s="70"/>
      <c r="B56" s="70" t="s">
        <v>349</v>
      </c>
      <c r="C56" s="70"/>
      <c r="D56" s="70"/>
      <c r="E56" s="70"/>
      <c r="F56" s="70"/>
      <c r="G56" s="70"/>
      <c r="H56" s="70"/>
      <c r="I56" s="70"/>
      <c r="J56" s="70"/>
      <c r="K56" s="70"/>
      <c r="L56" s="70"/>
      <c r="M56" s="70"/>
      <c r="N56" s="70"/>
      <c r="O56" s="70"/>
      <c r="P56" s="70"/>
      <c r="Q56" s="70"/>
      <c r="R56" s="70"/>
      <c r="S56" s="70"/>
      <c r="T56" s="70"/>
      <c r="U56" s="70"/>
      <c r="V56" s="70"/>
      <c r="W56" s="70"/>
      <c r="X56" s="70"/>
      <c r="Y56" s="70"/>
      <c r="Z56" s="70"/>
    </row>
    <row r="57" spans="1:26" ht="10.5" customHeight="1" x14ac:dyDescent="0.25">
      <c r="A57" s="70"/>
      <c r="B57" s="70" t="s">
        <v>350</v>
      </c>
      <c r="C57" s="70"/>
      <c r="D57" s="70"/>
      <c r="E57" s="70"/>
      <c r="F57" s="70"/>
      <c r="G57" s="70"/>
      <c r="H57" s="70"/>
      <c r="I57" s="70"/>
      <c r="J57" s="70"/>
      <c r="K57" s="70"/>
      <c r="L57" s="70"/>
      <c r="M57" s="70"/>
      <c r="N57" s="70"/>
      <c r="O57" s="70"/>
      <c r="P57" s="70"/>
      <c r="Q57" s="70"/>
      <c r="R57" s="70"/>
      <c r="S57" s="70"/>
      <c r="T57" s="70"/>
      <c r="U57" s="70"/>
      <c r="V57" s="70"/>
      <c r="W57" s="70"/>
      <c r="X57" s="70"/>
      <c r="Y57" s="70"/>
      <c r="Z57" s="70"/>
    </row>
    <row r="58" spans="1:26" ht="10.5" customHeight="1" x14ac:dyDescent="0.25">
      <c r="A58" s="70"/>
      <c r="B58" s="70" t="s">
        <v>351</v>
      </c>
      <c r="C58" s="70"/>
      <c r="D58" s="70"/>
      <c r="E58" s="70"/>
      <c r="F58" s="70"/>
      <c r="G58" s="70"/>
      <c r="H58" s="70"/>
      <c r="I58" s="70"/>
      <c r="J58" s="70"/>
      <c r="K58" s="70"/>
      <c r="L58" s="70"/>
      <c r="M58" s="70"/>
      <c r="N58" s="70"/>
      <c r="O58" s="70"/>
      <c r="P58" s="70"/>
      <c r="Q58" s="70"/>
      <c r="R58" s="70"/>
      <c r="S58" s="70"/>
      <c r="T58" s="70"/>
      <c r="U58" s="70"/>
      <c r="V58" s="70"/>
      <c r="W58" s="70"/>
      <c r="X58" s="70"/>
      <c r="Y58" s="70"/>
      <c r="Z58" s="70"/>
    </row>
    <row r="59" spans="1:26" ht="10.5" customHeight="1" x14ac:dyDescent="0.25">
      <c r="A59" s="70"/>
      <c r="B59" s="70" t="s">
        <v>352</v>
      </c>
      <c r="C59" s="70"/>
      <c r="D59" s="70"/>
      <c r="E59" s="70"/>
      <c r="F59" s="70"/>
      <c r="G59" s="70"/>
      <c r="H59" s="70"/>
      <c r="I59" s="70"/>
      <c r="J59" s="70"/>
      <c r="K59" s="70"/>
      <c r="L59" s="70"/>
      <c r="M59" s="70"/>
      <c r="N59" s="70"/>
      <c r="O59" s="70"/>
      <c r="P59" s="70"/>
      <c r="Q59" s="70"/>
      <c r="R59" s="70"/>
      <c r="S59" s="70"/>
      <c r="T59" s="70"/>
      <c r="U59" s="70"/>
      <c r="V59" s="70"/>
      <c r="W59" s="70"/>
      <c r="X59" s="70"/>
      <c r="Y59" s="70"/>
      <c r="Z59" s="70"/>
    </row>
    <row r="60" spans="1:26" ht="10.5" customHeight="1" x14ac:dyDescent="0.25">
      <c r="A60" s="70"/>
      <c r="B60" s="70" t="s">
        <v>353</v>
      </c>
      <c r="C60" s="70"/>
      <c r="D60" s="70"/>
      <c r="E60" s="70"/>
      <c r="F60" s="70"/>
      <c r="G60" s="70"/>
      <c r="H60" s="70"/>
      <c r="I60" s="70"/>
      <c r="J60" s="70"/>
      <c r="K60" s="70"/>
      <c r="L60" s="70"/>
      <c r="M60" s="70"/>
      <c r="N60" s="70"/>
      <c r="O60" s="70"/>
      <c r="P60" s="70"/>
      <c r="Q60" s="70"/>
      <c r="R60" s="70"/>
      <c r="S60" s="70"/>
      <c r="T60" s="70"/>
      <c r="U60" s="70"/>
      <c r="V60" s="70"/>
      <c r="W60" s="70"/>
      <c r="X60" s="70"/>
      <c r="Y60" s="70"/>
      <c r="Z60" s="70"/>
    </row>
    <row r="61" spans="1:26" ht="10.5" customHeight="1" x14ac:dyDescent="0.25">
      <c r="A61" s="70"/>
      <c r="B61" s="70" t="s">
        <v>354</v>
      </c>
      <c r="C61" s="70"/>
      <c r="D61" s="70"/>
      <c r="E61" s="70"/>
      <c r="F61" s="70"/>
      <c r="G61" s="70"/>
      <c r="H61" s="70"/>
      <c r="I61" s="70"/>
      <c r="J61" s="70"/>
      <c r="K61" s="70"/>
      <c r="L61" s="70"/>
      <c r="M61" s="70"/>
      <c r="N61" s="70"/>
      <c r="O61" s="70"/>
      <c r="P61" s="70"/>
      <c r="Q61" s="70"/>
      <c r="R61" s="70"/>
      <c r="S61" s="70"/>
      <c r="T61" s="70"/>
      <c r="U61" s="70"/>
      <c r="V61" s="70"/>
      <c r="W61" s="70"/>
      <c r="X61" s="70"/>
      <c r="Y61" s="70"/>
      <c r="Z61" s="70"/>
    </row>
    <row r="62" spans="1:26" ht="10.5" customHeight="1" x14ac:dyDescent="0.25">
      <c r="A62" s="70"/>
      <c r="B62" s="70" t="s">
        <v>355</v>
      </c>
      <c r="C62" s="70"/>
      <c r="D62" s="70"/>
      <c r="E62" s="70"/>
      <c r="F62" s="70"/>
      <c r="G62" s="70"/>
      <c r="H62" s="70"/>
      <c r="I62" s="70"/>
      <c r="J62" s="70"/>
      <c r="K62" s="70"/>
      <c r="L62" s="70"/>
      <c r="M62" s="70"/>
      <c r="N62" s="70"/>
      <c r="O62" s="70"/>
      <c r="P62" s="70"/>
      <c r="Q62" s="70"/>
      <c r="R62" s="70"/>
      <c r="S62" s="70"/>
      <c r="T62" s="70"/>
      <c r="U62" s="70"/>
      <c r="V62" s="70"/>
      <c r="W62" s="70"/>
      <c r="X62" s="70"/>
      <c r="Y62" s="70"/>
      <c r="Z62" s="70"/>
    </row>
    <row r="63" spans="1:26" ht="10.5" customHeight="1" x14ac:dyDescent="0.25">
      <c r="A63" s="70"/>
      <c r="B63" s="70" t="s">
        <v>356</v>
      </c>
      <c r="C63" s="70"/>
      <c r="D63" s="70"/>
      <c r="E63" s="70"/>
      <c r="F63" s="70"/>
      <c r="G63" s="70"/>
      <c r="H63" s="70"/>
      <c r="I63" s="70"/>
      <c r="J63" s="70"/>
      <c r="K63" s="70"/>
      <c r="L63" s="70"/>
      <c r="M63" s="70"/>
      <c r="N63" s="70"/>
      <c r="O63" s="70"/>
      <c r="P63" s="70"/>
      <c r="Q63" s="70"/>
      <c r="R63" s="70"/>
      <c r="S63" s="70"/>
      <c r="T63" s="70"/>
      <c r="U63" s="70"/>
      <c r="V63" s="70"/>
      <c r="W63" s="70"/>
      <c r="X63" s="70"/>
      <c r="Y63" s="70"/>
      <c r="Z63" s="70"/>
    </row>
    <row r="64" spans="1:26" ht="10.5" customHeight="1" x14ac:dyDescent="0.25">
      <c r="A64" s="70"/>
      <c r="B64" s="70" t="s">
        <v>357</v>
      </c>
      <c r="C64" s="70"/>
      <c r="D64" s="70"/>
      <c r="E64" s="70"/>
      <c r="F64" s="70"/>
      <c r="G64" s="70"/>
      <c r="H64" s="70"/>
      <c r="I64" s="70"/>
      <c r="J64" s="70"/>
      <c r="K64" s="70"/>
      <c r="L64" s="70"/>
      <c r="M64" s="70"/>
      <c r="N64" s="70"/>
      <c r="O64" s="70"/>
      <c r="P64" s="70"/>
      <c r="Q64" s="70"/>
      <c r="R64" s="70"/>
      <c r="S64" s="70"/>
      <c r="T64" s="70"/>
      <c r="U64" s="70"/>
      <c r="V64" s="70"/>
      <c r="W64" s="70"/>
      <c r="X64" s="70"/>
      <c r="Y64" s="70"/>
      <c r="Z64" s="70"/>
    </row>
    <row r="65" spans="1:26" ht="10.5" customHeight="1" x14ac:dyDescent="0.25">
      <c r="A65" s="70"/>
      <c r="B65" s="70" t="s">
        <v>358</v>
      </c>
      <c r="C65" s="70"/>
      <c r="D65" s="70"/>
      <c r="E65" s="70"/>
      <c r="F65" s="70"/>
      <c r="G65" s="70"/>
      <c r="H65" s="70"/>
      <c r="I65" s="70"/>
      <c r="J65" s="70"/>
      <c r="K65" s="70"/>
      <c r="L65" s="70"/>
      <c r="M65" s="70"/>
      <c r="N65" s="70"/>
      <c r="O65" s="70"/>
      <c r="P65" s="70"/>
      <c r="Q65" s="70"/>
      <c r="R65" s="70"/>
      <c r="S65" s="70"/>
      <c r="T65" s="70"/>
      <c r="U65" s="70"/>
      <c r="V65" s="70"/>
      <c r="W65" s="70"/>
      <c r="X65" s="70"/>
      <c r="Y65" s="70"/>
      <c r="Z65" s="70"/>
    </row>
    <row r="66" spans="1:26" ht="10.5" customHeight="1" x14ac:dyDescent="0.25">
      <c r="A66" s="70"/>
      <c r="B66" s="70" t="s">
        <v>359</v>
      </c>
      <c r="C66" s="70"/>
      <c r="D66" s="70"/>
      <c r="E66" s="70"/>
      <c r="F66" s="70"/>
      <c r="G66" s="70"/>
      <c r="H66" s="70"/>
      <c r="I66" s="70"/>
      <c r="J66" s="70"/>
      <c r="K66" s="70"/>
      <c r="L66" s="70"/>
      <c r="M66" s="70"/>
      <c r="N66" s="70"/>
      <c r="O66" s="70"/>
      <c r="P66" s="70"/>
      <c r="Q66" s="70"/>
      <c r="R66" s="70"/>
      <c r="S66" s="70"/>
      <c r="T66" s="70"/>
      <c r="U66" s="70"/>
      <c r="V66" s="70"/>
      <c r="W66" s="70"/>
      <c r="X66" s="70"/>
      <c r="Y66" s="70"/>
      <c r="Z66" s="70"/>
    </row>
    <row r="67" spans="1:26" ht="10.5" customHeight="1" x14ac:dyDescent="0.25">
      <c r="A67" s="70"/>
      <c r="B67" s="70" t="s">
        <v>360</v>
      </c>
      <c r="C67" s="70"/>
      <c r="D67" s="70"/>
      <c r="E67" s="70"/>
      <c r="F67" s="70"/>
      <c r="G67" s="70"/>
      <c r="H67" s="70"/>
      <c r="I67" s="70"/>
      <c r="J67" s="70"/>
      <c r="K67" s="70"/>
      <c r="L67" s="70"/>
      <c r="M67" s="70"/>
      <c r="N67" s="70"/>
      <c r="O67" s="70"/>
      <c r="P67" s="70"/>
      <c r="Q67" s="70"/>
      <c r="R67" s="70"/>
      <c r="S67" s="70"/>
      <c r="T67" s="70"/>
      <c r="U67" s="70"/>
      <c r="V67" s="70"/>
      <c r="W67" s="70"/>
      <c r="X67" s="70"/>
      <c r="Y67" s="70"/>
      <c r="Z67" s="70"/>
    </row>
    <row r="68" spans="1:26" ht="10.5" customHeight="1" x14ac:dyDescent="0.25">
      <c r="A68" s="70"/>
      <c r="B68" s="70" t="s">
        <v>361</v>
      </c>
      <c r="C68" s="70"/>
      <c r="D68" s="70"/>
      <c r="E68" s="70"/>
      <c r="F68" s="70"/>
      <c r="G68" s="70"/>
      <c r="H68" s="70"/>
      <c r="I68" s="70"/>
      <c r="J68" s="70"/>
      <c r="K68" s="70"/>
      <c r="L68" s="70"/>
      <c r="M68" s="70"/>
      <c r="N68" s="70"/>
      <c r="O68" s="70"/>
      <c r="P68" s="70"/>
      <c r="Q68" s="70"/>
      <c r="R68" s="70"/>
      <c r="S68" s="70"/>
      <c r="T68" s="70"/>
      <c r="U68" s="70"/>
      <c r="V68" s="70"/>
      <c r="W68" s="70"/>
      <c r="X68" s="70"/>
      <c r="Y68" s="70"/>
      <c r="Z68" s="70"/>
    </row>
    <row r="69" spans="1:26" ht="10.5" customHeight="1" x14ac:dyDescent="0.25">
      <c r="A69" s="70"/>
      <c r="B69" s="70" t="s">
        <v>362</v>
      </c>
      <c r="C69" s="70"/>
      <c r="D69" s="70"/>
      <c r="E69" s="70"/>
      <c r="F69" s="70"/>
      <c r="G69" s="70"/>
      <c r="H69" s="70"/>
      <c r="I69" s="70"/>
      <c r="J69" s="70"/>
      <c r="K69" s="70"/>
      <c r="L69" s="70"/>
      <c r="M69" s="70"/>
      <c r="N69" s="70"/>
      <c r="O69" s="70"/>
      <c r="P69" s="70"/>
      <c r="Q69" s="70"/>
      <c r="R69" s="70"/>
      <c r="S69" s="70"/>
      <c r="T69" s="70"/>
      <c r="U69" s="70"/>
      <c r="V69" s="70"/>
      <c r="W69" s="70"/>
      <c r="X69" s="70"/>
      <c r="Y69" s="70"/>
      <c r="Z69" s="70"/>
    </row>
    <row r="70" spans="1:26" ht="10.5" customHeight="1" x14ac:dyDescent="0.25">
      <c r="A70" s="70"/>
      <c r="B70" s="70" t="s">
        <v>363</v>
      </c>
      <c r="C70" s="70"/>
      <c r="D70" s="70"/>
      <c r="E70" s="70"/>
      <c r="F70" s="70"/>
      <c r="G70" s="70"/>
      <c r="H70" s="70"/>
      <c r="I70" s="70"/>
      <c r="J70" s="70"/>
      <c r="K70" s="70"/>
      <c r="L70" s="70"/>
      <c r="M70" s="70"/>
      <c r="N70" s="70"/>
      <c r="O70" s="70"/>
      <c r="P70" s="70"/>
      <c r="Q70" s="70"/>
      <c r="R70" s="70"/>
      <c r="S70" s="70"/>
      <c r="T70" s="70"/>
      <c r="U70" s="70"/>
      <c r="V70" s="70"/>
      <c r="W70" s="70"/>
      <c r="X70" s="70"/>
      <c r="Y70" s="70"/>
      <c r="Z70" s="70"/>
    </row>
    <row r="71" spans="1:26" ht="10.5" customHeight="1" x14ac:dyDescent="0.25">
      <c r="A71" s="70"/>
      <c r="B71" s="70" t="s">
        <v>364</v>
      </c>
      <c r="C71" s="70"/>
      <c r="D71" s="70"/>
      <c r="E71" s="70"/>
      <c r="F71" s="70"/>
      <c r="G71" s="70"/>
      <c r="H71" s="70"/>
      <c r="I71" s="70"/>
      <c r="J71" s="70"/>
      <c r="K71" s="70"/>
      <c r="L71" s="70"/>
      <c r="M71" s="70"/>
      <c r="N71" s="70"/>
      <c r="O71" s="70"/>
      <c r="P71" s="70"/>
      <c r="Q71" s="70"/>
      <c r="R71" s="70"/>
      <c r="S71" s="70"/>
      <c r="T71" s="70"/>
      <c r="U71" s="70"/>
      <c r="V71" s="70"/>
      <c r="W71" s="70"/>
      <c r="X71" s="70"/>
      <c r="Y71" s="70"/>
      <c r="Z71" s="70"/>
    </row>
    <row r="72" spans="1:26" ht="10.5" customHeight="1" x14ac:dyDescent="0.25">
      <c r="A72" s="70"/>
      <c r="B72" s="70" t="s">
        <v>365</v>
      </c>
      <c r="C72" s="70"/>
      <c r="D72" s="70"/>
      <c r="E72" s="70"/>
      <c r="F72" s="70"/>
      <c r="G72" s="70"/>
      <c r="H72" s="70"/>
      <c r="I72" s="70"/>
      <c r="J72" s="70"/>
      <c r="K72" s="70"/>
      <c r="L72" s="70"/>
      <c r="M72" s="70"/>
      <c r="N72" s="70"/>
      <c r="O72" s="70"/>
      <c r="P72" s="70"/>
      <c r="Q72" s="70"/>
      <c r="R72" s="70"/>
      <c r="S72" s="70"/>
      <c r="T72" s="70"/>
      <c r="U72" s="70"/>
      <c r="V72" s="70"/>
      <c r="W72" s="70"/>
      <c r="X72" s="70"/>
      <c r="Y72" s="70"/>
      <c r="Z72" s="70"/>
    </row>
    <row r="73" spans="1:26" ht="10.5" customHeight="1" x14ac:dyDescent="0.25">
      <c r="A73" s="70"/>
      <c r="B73" s="70" t="s">
        <v>366</v>
      </c>
      <c r="C73" s="70"/>
      <c r="D73" s="70"/>
      <c r="E73" s="70"/>
      <c r="F73" s="70"/>
      <c r="G73" s="70"/>
      <c r="H73" s="70"/>
      <c r="I73" s="70"/>
      <c r="J73" s="70"/>
      <c r="K73" s="70"/>
      <c r="L73" s="70"/>
      <c r="M73" s="70"/>
      <c r="N73" s="70"/>
      <c r="O73" s="70"/>
      <c r="P73" s="70"/>
      <c r="Q73" s="70"/>
      <c r="R73" s="70"/>
      <c r="S73" s="70"/>
      <c r="T73" s="70"/>
      <c r="U73" s="70"/>
      <c r="V73" s="70"/>
      <c r="W73" s="70"/>
      <c r="X73" s="70"/>
      <c r="Y73" s="70"/>
      <c r="Z73" s="70"/>
    </row>
    <row r="74" spans="1:26" ht="10.5" customHeight="1" x14ac:dyDescent="0.25">
      <c r="A74" s="70"/>
      <c r="B74" s="70" t="s">
        <v>367</v>
      </c>
      <c r="C74" s="70"/>
      <c r="D74" s="70"/>
      <c r="E74" s="70"/>
      <c r="F74" s="70"/>
      <c r="G74" s="70"/>
      <c r="H74" s="70"/>
      <c r="I74" s="70"/>
      <c r="J74" s="70"/>
      <c r="K74" s="70"/>
      <c r="L74" s="70"/>
      <c r="M74" s="70"/>
      <c r="N74" s="70"/>
      <c r="O74" s="70"/>
      <c r="P74" s="70"/>
      <c r="Q74" s="70"/>
      <c r="R74" s="70"/>
      <c r="S74" s="70"/>
      <c r="T74" s="70"/>
      <c r="U74" s="70"/>
      <c r="V74" s="70"/>
      <c r="W74" s="70"/>
      <c r="X74" s="70"/>
      <c r="Y74" s="70"/>
      <c r="Z74" s="70"/>
    </row>
    <row r="75" spans="1:26" ht="10.5" customHeight="1" x14ac:dyDescent="0.25">
      <c r="A75" s="70"/>
      <c r="B75" s="70" t="s">
        <v>368</v>
      </c>
      <c r="C75" s="70"/>
      <c r="D75" s="70"/>
      <c r="E75" s="70"/>
      <c r="F75" s="70"/>
      <c r="G75" s="70"/>
      <c r="H75" s="70"/>
      <c r="I75" s="70"/>
      <c r="J75" s="70"/>
      <c r="K75" s="70"/>
      <c r="L75" s="70"/>
      <c r="M75" s="70"/>
      <c r="N75" s="70"/>
      <c r="O75" s="70"/>
      <c r="P75" s="70"/>
      <c r="Q75" s="70"/>
      <c r="R75" s="70"/>
      <c r="S75" s="70"/>
      <c r="T75" s="70"/>
      <c r="U75" s="70"/>
      <c r="V75" s="70"/>
      <c r="W75" s="70"/>
      <c r="X75" s="70"/>
      <c r="Y75" s="70"/>
      <c r="Z75" s="70"/>
    </row>
    <row r="76" spans="1:26" ht="10.5" customHeight="1" x14ac:dyDescent="0.25">
      <c r="A76" s="70"/>
      <c r="B76" s="70" t="s">
        <v>369</v>
      </c>
      <c r="C76" s="70"/>
      <c r="D76" s="70"/>
      <c r="E76" s="70"/>
      <c r="F76" s="70"/>
      <c r="G76" s="70"/>
      <c r="H76" s="70"/>
      <c r="I76" s="70"/>
      <c r="J76" s="70"/>
      <c r="K76" s="70"/>
      <c r="L76" s="70"/>
      <c r="M76" s="70"/>
      <c r="N76" s="70"/>
      <c r="O76" s="70"/>
      <c r="P76" s="70"/>
      <c r="Q76" s="70"/>
      <c r="R76" s="70"/>
      <c r="S76" s="70"/>
      <c r="T76" s="70"/>
      <c r="U76" s="70"/>
      <c r="V76" s="70"/>
      <c r="W76" s="70"/>
      <c r="X76" s="70"/>
      <c r="Y76" s="70"/>
      <c r="Z76" s="70"/>
    </row>
    <row r="77" spans="1:26" ht="10.5" customHeight="1" x14ac:dyDescent="0.25">
      <c r="A77" s="70"/>
      <c r="B77" s="70" t="s">
        <v>370</v>
      </c>
      <c r="C77" s="70"/>
      <c r="D77" s="70"/>
      <c r="E77" s="70"/>
      <c r="F77" s="70"/>
      <c r="G77" s="70"/>
      <c r="H77" s="70"/>
      <c r="I77" s="70"/>
      <c r="J77" s="70"/>
      <c r="K77" s="70"/>
      <c r="L77" s="70"/>
      <c r="M77" s="70"/>
      <c r="N77" s="70"/>
      <c r="O77" s="70"/>
      <c r="P77" s="70"/>
      <c r="Q77" s="70"/>
      <c r="R77" s="70"/>
      <c r="S77" s="70"/>
      <c r="T77" s="70"/>
      <c r="U77" s="70"/>
      <c r="V77" s="70"/>
      <c r="W77" s="70"/>
      <c r="X77" s="70"/>
      <c r="Y77" s="70"/>
      <c r="Z77" s="70"/>
    </row>
    <row r="78" spans="1:26" ht="10.5" customHeight="1" x14ac:dyDescent="0.25">
      <c r="A78" s="70"/>
      <c r="B78" s="70" t="s">
        <v>371</v>
      </c>
      <c r="C78" s="70"/>
      <c r="D78" s="70"/>
      <c r="E78" s="70"/>
      <c r="F78" s="70"/>
      <c r="G78" s="70"/>
      <c r="H78" s="70"/>
      <c r="I78" s="70"/>
      <c r="J78" s="70"/>
      <c r="K78" s="70"/>
      <c r="L78" s="70"/>
      <c r="M78" s="70"/>
      <c r="N78" s="70"/>
      <c r="O78" s="70"/>
      <c r="P78" s="70"/>
      <c r="Q78" s="70"/>
      <c r="R78" s="70"/>
      <c r="S78" s="70"/>
      <c r="T78" s="70"/>
      <c r="U78" s="70"/>
      <c r="V78" s="70"/>
      <c r="W78" s="70"/>
      <c r="X78" s="70"/>
      <c r="Y78" s="70"/>
      <c r="Z78" s="70"/>
    </row>
    <row r="79" spans="1:26" ht="10.5" customHeight="1" x14ac:dyDescent="0.25">
      <c r="A79" s="70"/>
      <c r="B79" s="70" t="s">
        <v>372</v>
      </c>
      <c r="C79" s="70"/>
      <c r="D79" s="70"/>
      <c r="E79" s="70"/>
      <c r="F79" s="70"/>
      <c r="G79" s="70"/>
      <c r="H79" s="70"/>
      <c r="I79" s="70"/>
      <c r="J79" s="70"/>
      <c r="K79" s="70"/>
      <c r="L79" s="70"/>
      <c r="M79" s="70"/>
      <c r="N79" s="70"/>
      <c r="O79" s="70"/>
      <c r="P79" s="70"/>
      <c r="Q79" s="70"/>
      <c r="R79" s="70"/>
      <c r="S79" s="70"/>
      <c r="T79" s="70"/>
      <c r="U79" s="70"/>
      <c r="V79" s="70"/>
      <c r="W79" s="70"/>
      <c r="X79" s="70"/>
      <c r="Y79" s="70"/>
      <c r="Z79" s="70"/>
    </row>
    <row r="80" spans="1:26" ht="10.5" customHeight="1" x14ac:dyDescent="0.25">
      <c r="A80" s="70"/>
      <c r="B80" s="70" t="s">
        <v>373</v>
      </c>
      <c r="C80" s="70"/>
      <c r="D80" s="70"/>
      <c r="E80" s="70"/>
      <c r="F80" s="70"/>
      <c r="G80" s="70"/>
      <c r="H80" s="70"/>
      <c r="I80" s="70"/>
      <c r="J80" s="70"/>
      <c r="K80" s="70"/>
      <c r="L80" s="70"/>
      <c r="M80" s="70"/>
      <c r="N80" s="70"/>
      <c r="O80" s="70"/>
      <c r="P80" s="70"/>
      <c r="Q80" s="70"/>
      <c r="R80" s="70"/>
      <c r="S80" s="70"/>
      <c r="T80" s="70"/>
      <c r="U80" s="70"/>
      <c r="V80" s="70"/>
      <c r="W80" s="70"/>
      <c r="X80" s="70"/>
      <c r="Y80" s="70"/>
      <c r="Z80" s="70"/>
    </row>
    <row r="81" spans="1:26" ht="10.5" customHeight="1" x14ac:dyDescent="0.25">
      <c r="A81" s="70"/>
      <c r="B81" s="70" t="s">
        <v>374</v>
      </c>
      <c r="C81" s="70"/>
      <c r="D81" s="70"/>
      <c r="E81" s="70"/>
      <c r="F81" s="70"/>
      <c r="G81" s="70"/>
      <c r="H81" s="70"/>
      <c r="I81" s="70"/>
      <c r="J81" s="70"/>
      <c r="K81" s="70"/>
      <c r="L81" s="70"/>
      <c r="M81" s="70"/>
      <c r="N81" s="70"/>
      <c r="O81" s="70"/>
      <c r="P81" s="70"/>
      <c r="Q81" s="70"/>
      <c r="R81" s="70"/>
      <c r="S81" s="70"/>
      <c r="T81" s="70"/>
      <c r="U81" s="70"/>
      <c r="V81" s="70"/>
      <c r="W81" s="70"/>
      <c r="X81" s="70"/>
      <c r="Y81" s="70"/>
      <c r="Z81" s="70"/>
    </row>
    <row r="82" spans="1:26" ht="10.5" customHeight="1" x14ac:dyDescent="0.25">
      <c r="A82" s="70"/>
      <c r="B82" s="70" t="s">
        <v>375</v>
      </c>
      <c r="C82" s="70"/>
      <c r="D82" s="70"/>
      <c r="E82" s="70"/>
      <c r="F82" s="70"/>
      <c r="G82" s="70"/>
      <c r="H82" s="70"/>
      <c r="I82" s="70"/>
      <c r="J82" s="70"/>
      <c r="K82" s="70"/>
      <c r="L82" s="70"/>
      <c r="M82" s="70"/>
      <c r="N82" s="70"/>
      <c r="O82" s="70"/>
      <c r="P82" s="70"/>
      <c r="Q82" s="70"/>
      <c r="R82" s="70"/>
      <c r="S82" s="70"/>
      <c r="T82" s="70"/>
      <c r="U82" s="70"/>
      <c r="V82" s="70"/>
      <c r="W82" s="70"/>
      <c r="X82" s="70"/>
      <c r="Y82" s="70"/>
      <c r="Z82" s="70"/>
    </row>
    <row r="83" spans="1:26" ht="10.5" customHeight="1" x14ac:dyDescent="0.25">
      <c r="A83" s="70"/>
      <c r="B83" s="70" t="s">
        <v>376</v>
      </c>
      <c r="C83" s="70"/>
      <c r="D83" s="70"/>
      <c r="E83" s="70"/>
      <c r="F83" s="70"/>
      <c r="G83" s="70"/>
      <c r="H83" s="70"/>
      <c r="I83" s="70"/>
      <c r="J83" s="70"/>
      <c r="K83" s="70"/>
      <c r="L83" s="70"/>
      <c r="M83" s="70"/>
      <c r="N83" s="70"/>
      <c r="O83" s="70"/>
      <c r="P83" s="70"/>
      <c r="Q83" s="70"/>
      <c r="R83" s="70"/>
      <c r="S83" s="70"/>
      <c r="T83" s="70"/>
      <c r="U83" s="70"/>
      <c r="V83" s="70"/>
      <c r="W83" s="70"/>
      <c r="X83" s="70"/>
      <c r="Y83" s="70"/>
      <c r="Z83" s="70"/>
    </row>
    <row r="84" spans="1:26" ht="10.5" customHeight="1" x14ac:dyDescent="0.25">
      <c r="A84" s="70"/>
      <c r="B84" s="70" t="s">
        <v>377</v>
      </c>
      <c r="C84" s="70"/>
      <c r="D84" s="70"/>
      <c r="E84" s="70"/>
      <c r="F84" s="70"/>
      <c r="G84" s="70"/>
      <c r="H84" s="70"/>
      <c r="I84" s="70"/>
      <c r="J84" s="70"/>
      <c r="K84" s="70"/>
      <c r="L84" s="70"/>
      <c r="M84" s="70"/>
      <c r="N84" s="70"/>
      <c r="O84" s="70"/>
      <c r="P84" s="70"/>
      <c r="Q84" s="70"/>
      <c r="R84" s="70"/>
      <c r="S84" s="70"/>
      <c r="T84" s="70"/>
      <c r="U84" s="70"/>
      <c r="V84" s="70"/>
      <c r="W84" s="70"/>
      <c r="X84" s="70"/>
      <c r="Y84" s="70"/>
      <c r="Z84" s="70"/>
    </row>
    <row r="85" spans="1:26" ht="10.5" customHeight="1" x14ac:dyDescent="0.25">
      <c r="A85" s="70"/>
      <c r="B85" s="70" t="s">
        <v>378</v>
      </c>
      <c r="C85" s="70"/>
      <c r="D85" s="70"/>
      <c r="E85" s="70"/>
      <c r="F85" s="70"/>
      <c r="G85" s="70"/>
      <c r="H85" s="70"/>
      <c r="I85" s="70"/>
      <c r="J85" s="70"/>
      <c r="K85" s="70"/>
      <c r="L85" s="70"/>
      <c r="M85" s="70"/>
      <c r="N85" s="70"/>
      <c r="O85" s="70"/>
      <c r="P85" s="70"/>
      <c r="Q85" s="70"/>
      <c r="R85" s="70"/>
      <c r="S85" s="70"/>
      <c r="T85" s="70"/>
      <c r="U85" s="70"/>
      <c r="V85" s="70"/>
      <c r="W85" s="70"/>
      <c r="X85" s="70"/>
      <c r="Y85" s="70"/>
      <c r="Z85" s="70"/>
    </row>
    <row r="86" spans="1:26" ht="10.5" customHeight="1" x14ac:dyDescent="0.25">
      <c r="A86" s="70"/>
      <c r="B86" s="70" t="s">
        <v>379</v>
      </c>
      <c r="C86" s="70"/>
      <c r="D86" s="70"/>
      <c r="E86" s="70"/>
      <c r="F86" s="70"/>
      <c r="G86" s="70"/>
      <c r="H86" s="70"/>
      <c r="I86" s="70"/>
      <c r="J86" s="70"/>
      <c r="K86" s="70"/>
      <c r="L86" s="70"/>
      <c r="M86" s="70"/>
      <c r="N86" s="70"/>
      <c r="O86" s="70"/>
      <c r="P86" s="70"/>
      <c r="Q86" s="70"/>
      <c r="R86" s="70"/>
      <c r="S86" s="70"/>
      <c r="T86" s="70"/>
      <c r="U86" s="70"/>
      <c r="V86" s="70"/>
      <c r="W86" s="70"/>
      <c r="X86" s="70"/>
      <c r="Y86" s="70"/>
      <c r="Z86" s="70"/>
    </row>
    <row r="87" spans="1:26" ht="10.5" customHeight="1" x14ac:dyDescent="0.25">
      <c r="A87" s="70"/>
      <c r="B87" s="70" t="s">
        <v>380</v>
      </c>
      <c r="C87" s="70"/>
      <c r="D87" s="70"/>
      <c r="E87" s="70"/>
      <c r="F87" s="70"/>
      <c r="G87" s="70"/>
      <c r="H87" s="70"/>
      <c r="I87" s="70"/>
      <c r="J87" s="70"/>
      <c r="K87" s="70"/>
      <c r="L87" s="70"/>
      <c r="M87" s="70"/>
      <c r="N87" s="70"/>
      <c r="O87" s="70"/>
      <c r="P87" s="70"/>
      <c r="Q87" s="70"/>
      <c r="R87" s="70"/>
      <c r="S87" s="70"/>
      <c r="T87" s="70"/>
      <c r="U87" s="70"/>
      <c r="V87" s="70"/>
      <c r="W87" s="70"/>
      <c r="X87" s="70"/>
      <c r="Y87" s="70"/>
      <c r="Z87" s="70"/>
    </row>
    <row r="88" spans="1:26" ht="10.5" customHeight="1" x14ac:dyDescent="0.25">
      <c r="A88" s="70"/>
      <c r="B88" s="70" t="s">
        <v>381</v>
      </c>
      <c r="C88" s="70"/>
      <c r="D88" s="70"/>
      <c r="E88" s="70"/>
      <c r="F88" s="70"/>
      <c r="G88" s="70"/>
      <c r="H88" s="70"/>
      <c r="I88" s="70"/>
      <c r="J88" s="70"/>
      <c r="K88" s="70"/>
      <c r="L88" s="70"/>
      <c r="M88" s="70"/>
      <c r="N88" s="70"/>
      <c r="O88" s="70"/>
      <c r="P88" s="70"/>
      <c r="Q88" s="70"/>
      <c r="R88" s="70"/>
      <c r="S88" s="70"/>
      <c r="T88" s="70"/>
      <c r="U88" s="70"/>
      <c r="V88" s="70"/>
      <c r="W88" s="70"/>
      <c r="X88" s="70"/>
      <c r="Y88" s="70"/>
      <c r="Z88" s="70"/>
    </row>
    <row r="89" spans="1:26" ht="10.5" customHeight="1" x14ac:dyDescent="0.25">
      <c r="A89" s="70"/>
      <c r="B89" s="70" t="s">
        <v>382</v>
      </c>
      <c r="C89" s="70"/>
      <c r="D89" s="70"/>
      <c r="E89" s="70"/>
      <c r="F89" s="70"/>
      <c r="G89" s="70"/>
      <c r="H89" s="70"/>
      <c r="I89" s="70"/>
      <c r="J89" s="70"/>
      <c r="K89" s="70"/>
      <c r="L89" s="70"/>
      <c r="M89" s="70"/>
      <c r="N89" s="70"/>
      <c r="O89" s="70"/>
      <c r="P89" s="70"/>
      <c r="Q89" s="70"/>
      <c r="R89" s="70"/>
      <c r="S89" s="70"/>
      <c r="T89" s="70"/>
      <c r="U89" s="70"/>
      <c r="V89" s="70"/>
      <c r="W89" s="70"/>
      <c r="X89" s="70"/>
      <c r="Y89" s="70"/>
      <c r="Z89" s="70"/>
    </row>
    <row r="90" spans="1:26" ht="10.5" customHeight="1" x14ac:dyDescent="0.25">
      <c r="A90" s="70"/>
      <c r="B90" s="70" t="s">
        <v>383</v>
      </c>
      <c r="C90" s="70"/>
      <c r="D90" s="70"/>
      <c r="E90" s="70"/>
      <c r="F90" s="70"/>
      <c r="G90" s="70"/>
      <c r="H90" s="70"/>
      <c r="I90" s="70"/>
      <c r="J90" s="70"/>
      <c r="K90" s="70"/>
      <c r="L90" s="70"/>
      <c r="M90" s="70"/>
      <c r="N90" s="70"/>
      <c r="O90" s="70"/>
      <c r="P90" s="70"/>
      <c r="Q90" s="70"/>
      <c r="R90" s="70"/>
      <c r="S90" s="70"/>
      <c r="T90" s="70"/>
      <c r="U90" s="70"/>
      <c r="V90" s="70"/>
      <c r="W90" s="70"/>
      <c r="X90" s="70"/>
      <c r="Y90" s="70"/>
      <c r="Z90" s="70"/>
    </row>
    <row r="91" spans="1:26" ht="10.5" customHeight="1" x14ac:dyDescent="0.25">
      <c r="A91" s="70"/>
      <c r="B91" s="70" t="s">
        <v>384</v>
      </c>
      <c r="C91" s="70"/>
      <c r="D91" s="70"/>
      <c r="E91" s="70"/>
      <c r="F91" s="70"/>
      <c r="G91" s="70"/>
      <c r="H91" s="70"/>
      <c r="I91" s="70"/>
      <c r="J91" s="70"/>
      <c r="K91" s="70"/>
      <c r="L91" s="70"/>
      <c r="M91" s="70"/>
      <c r="N91" s="70"/>
      <c r="O91" s="70"/>
      <c r="P91" s="70"/>
      <c r="Q91" s="70"/>
      <c r="R91" s="70"/>
      <c r="S91" s="70"/>
      <c r="T91" s="70"/>
      <c r="U91" s="70"/>
      <c r="V91" s="70"/>
      <c r="W91" s="70"/>
      <c r="X91" s="70"/>
      <c r="Y91" s="70"/>
      <c r="Z91" s="70"/>
    </row>
    <row r="92" spans="1:26" ht="10.5" customHeight="1" x14ac:dyDescent="0.25">
      <c r="A92" s="70"/>
      <c r="B92" s="70" t="s">
        <v>385</v>
      </c>
      <c r="C92" s="70"/>
      <c r="D92" s="70"/>
      <c r="E92" s="70"/>
      <c r="F92" s="70"/>
      <c r="G92" s="70"/>
      <c r="H92" s="70"/>
      <c r="I92" s="70"/>
      <c r="J92" s="70"/>
      <c r="K92" s="70"/>
      <c r="L92" s="70"/>
      <c r="M92" s="70"/>
      <c r="N92" s="70"/>
      <c r="O92" s="70"/>
      <c r="P92" s="70"/>
      <c r="Q92" s="70"/>
      <c r="R92" s="70"/>
      <c r="S92" s="70"/>
      <c r="T92" s="70"/>
      <c r="U92" s="70"/>
      <c r="V92" s="70"/>
      <c r="W92" s="70"/>
      <c r="X92" s="70"/>
      <c r="Y92" s="70"/>
      <c r="Z92" s="70"/>
    </row>
    <row r="93" spans="1:26" ht="10.5" customHeight="1" x14ac:dyDescent="0.25">
      <c r="A93" s="70"/>
      <c r="B93" s="70" t="s">
        <v>386</v>
      </c>
      <c r="C93" s="70"/>
      <c r="D93" s="70"/>
      <c r="E93" s="70"/>
      <c r="F93" s="70"/>
      <c r="G93" s="70"/>
      <c r="H93" s="70"/>
      <c r="I93" s="70"/>
      <c r="J93" s="70"/>
      <c r="K93" s="70"/>
      <c r="L93" s="70"/>
      <c r="M93" s="70"/>
      <c r="N93" s="70"/>
      <c r="O93" s="70"/>
      <c r="P93" s="70"/>
      <c r="Q93" s="70"/>
      <c r="R93" s="70"/>
      <c r="S93" s="70"/>
      <c r="T93" s="70"/>
      <c r="U93" s="70"/>
      <c r="V93" s="70"/>
      <c r="W93" s="70"/>
      <c r="X93" s="70"/>
      <c r="Y93" s="70"/>
      <c r="Z93" s="70"/>
    </row>
    <row r="94" spans="1:26" ht="10.5" customHeight="1" x14ac:dyDescent="0.25">
      <c r="A94" s="70"/>
      <c r="B94" s="70" t="s">
        <v>387</v>
      </c>
      <c r="C94" s="70"/>
      <c r="D94" s="70"/>
      <c r="E94" s="70"/>
      <c r="F94" s="70"/>
      <c r="G94" s="70"/>
      <c r="H94" s="70"/>
      <c r="I94" s="70"/>
      <c r="J94" s="70"/>
      <c r="K94" s="70"/>
      <c r="L94" s="70"/>
      <c r="M94" s="70"/>
      <c r="N94" s="70"/>
      <c r="O94" s="70"/>
      <c r="P94" s="70"/>
      <c r="Q94" s="70"/>
      <c r="R94" s="70"/>
      <c r="S94" s="70"/>
      <c r="T94" s="70"/>
      <c r="U94" s="70"/>
      <c r="V94" s="70"/>
      <c r="W94" s="70"/>
      <c r="X94" s="70"/>
      <c r="Y94" s="70"/>
      <c r="Z94" s="70"/>
    </row>
    <row r="95" spans="1:26" ht="10.5" customHeight="1" x14ac:dyDescent="0.25">
      <c r="A95" s="70"/>
      <c r="B95" s="70" t="s">
        <v>388</v>
      </c>
      <c r="C95" s="70"/>
      <c r="D95" s="70"/>
      <c r="E95" s="70"/>
      <c r="F95" s="70"/>
      <c r="G95" s="70"/>
      <c r="H95" s="70"/>
      <c r="I95" s="70"/>
      <c r="J95" s="70"/>
      <c r="K95" s="70"/>
      <c r="L95" s="70"/>
      <c r="M95" s="70"/>
      <c r="N95" s="70"/>
      <c r="O95" s="70"/>
      <c r="P95" s="70"/>
      <c r="Q95" s="70"/>
      <c r="R95" s="70"/>
      <c r="S95" s="70"/>
      <c r="T95" s="70"/>
      <c r="U95" s="70"/>
      <c r="V95" s="70"/>
      <c r="W95" s="70"/>
      <c r="X95" s="70"/>
      <c r="Y95" s="70"/>
      <c r="Z95" s="70"/>
    </row>
    <row r="96" spans="1:26" ht="10.5" customHeight="1" x14ac:dyDescent="0.25">
      <c r="A96" s="70"/>
      <c r="B96" s="70" t="s">
        <v>389</v>
      </c>
      <c r="C96" s="70"/>
      <c r="D96" s="70"/>
      <c r="E96" s="70"/>
      <c r="F96" s="70"/>
      <c r="G96" s="70"/>
      <c r="H96" s="70"/>
      <c r="I96" s="70"/>
      <c r="J96" s="70"/>
      <c r="K96" s="70"/>
      <c r="L96" s="70"/>
      <c r="M96" s="70"/>
      <c r="N96" s="70"/>
      <c r="O96" s="70"/>
      <c r="P96" s="70"/>
      <c r="Q96" s="70"/>
      <c r="R96" s="70"/>
      <c r="S96" s="70"/>
      <c r="T96" s="70"/>
      <c r="U96" s="70"/>
      <c r="V96" s="70"/>
      <c r="W96" s="70"/>
      <c r="X96" s="70"/>
      <c r="Y96" s="70"/>
      <c r="Z96" s="70"/>
    </row>
    <row r="97" spans="1:26" ht="10.5" customHeight="1" x14ac:dyDescent="0.25">
      <c r="A97" s="70"/>
      <c r="B97" s="70" t="s">
        <v>390</v>
      </c>
      <c r="C97" s="70"/>
      <c r="D97" s="70"/>
      <c r="E97" s="70"/>
      <c r="F97" s="70"/>
      <c r="G97" s="70"/>
      <c r="H97" s="70"/>
      <c r="I97" s="70"/>
      <c r="J97" s="70"/>
      <c r="K97" s="70"/>
      <c r="L97" s="70"/>
      <c r="M97" s="70"/>
      <c r="N97" s="70"/>
      <c r="O97" s="70"/>
      <c r="P97" s="70"/>
      <c r="Q97" s="70"/>
      <c r="R97" s="70"/>
      <c r="S97" s="70"/>
      <c r="T97" s="70"/>
      <c r="U97" s="70"/>
      <c r="V97" s="70"/>
      <c r="W97" s="70"/>
      <c r="X97" s="70"/>
      <c r="Y97" s="70"/>
      <c r="Z97" s="70"/>
    </row>
    <row r="98" spans="1:26" ht="10.5" customHeight="1" x14ac:dyDescent="0.25">
      <c r="A98" s="70"/>
      <c r="B98" s="70" t="s">
        <v>391</v>
      </c>
      <c r="C98" s="70"/>
      <c r="D98" s="70"/>
      <c r="E98" s="70"/>
      <c r="F98" s="70"/>
      <c r="G98" s="70"/>
      <c r="H98" s="70"/>
      <c r="I98" s="70"/>
      <c r="J98" s="70"/>
      <c r="K98" s="70"/>
      <c r="L98" s="70"/>
      <c r="M98" s="70"/>
      <c r="N98" s="70"/>
      <c r="O98" s="70"/>
      <c r="P98" s="70"/>
      <c r="Q98" s="70"/>
      <c r="R98" s="70"/>
      <c r="S98" s="70"/>
      <c r="T98" s="70"/>
      <c r="U98" s="70"/>
      <c r="V98" s="70"/>
      <c r="W98" s="70"/>
      <c r="X98" s="70"/>
      <c r="Y98" s="70"/>
      <c r="Z98" s="70"/>
    </row>
    <row r="99" spans="1:26" ht="10.5" customHeight="1" x14ac:dyDescent="0.25">
      <c r="A99" s="70"/>
      <c r="B99" s="70" t="s">
        <v>392</v>
      </c>
      <c r="C99" s="70"/>
      <c r="D99" s="70"/>
      <c r="E99" s="70"/>
      <c r="F99" s="70"/>
      <c r="G99" s="70"/>
      <c r="H99" s="70"/>
      <c r="I99" s="70"/>
      <c r="J99" s="70"/>
      <c r="K99" s="70"/>
      <c r="L99" s="70"/>
      <c r="M99" s="70"/>
      <c r="N99" s="70"/>
      <c r="O99" s="70"/>
      <c r="P99" s="70"/>
      <c r="Q99" s="70"/>
      <c r="R99" s="70"/>
      <c r="S99" s="70"/>
      <c r="T99" s="70"/>
      <c r="U99" s="70"/>
      <c r="V99" s="70"/>
      <c r="W99" s="70"/>
      <c r="X99" s="70"/>
      <c r="Y99" s="70"/>
      <c r="Z99" s="70"/>
    </row>
    <row r="100" spans="1:26" ht="10.5" customHeight="1" x14ac:dyDescent="0.25">
      <c r="A100" s="70"/>
      <c r="B100" s="70" t="s">
        <v>393</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spans="1:26" ht="10.5" customHeight="1" x14ac:dyDescent="0.25">
      <c r="A101" s="70"/>
      <c r="B101" s="70" t="s">
        <v>394</v>
      </c>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spans="1:26" ht="10.5" customHeight="1" x14ac:dyDescent="0.25">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spans="1:26" ht="10.5" customHeight="1" x14ac:dyDescent="0.25">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spans="1:26" ht="10.5" customHeight="1" x14ac:dyDescent="0.25">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spans="1:26" ht="10.5" customHeight="1" x14ac:dyDescent="0.2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spans="1:26" ht="10.5" customHeight="1" x14ac:dyDescent="0.25">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spans="1:26" ht="10.5" customHeight="1" x14ac:dyDescent="0.25">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spans="1:26" ht="10.5" customHeight="1" x14ac:dyDescent="0.25">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spans="1:26" ht="10.5" customHeight="1" x14ac:dyDescent="0.25">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spans="1:26" ht="10.5" customHeight="1" x14ac:dyDescent="0.25">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spans="1:26" ht="10.5" customHeight="1" x14ac:dyDescent="0.25">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spans="1:26" ht="10.5" customHeight="1" x14ac:dyDescent="0.25">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spans="1:26" ht="10.5" customHeight="1" x14ac:dyDescent="0.25">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spans="1:26" ht="10.5" customHeight="1" x14ac:dyDescent="0.25">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spans="1:26" ht="10.5" customHeight="1" x14ac:dyDescent="0.2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spans="1:26" ht="10.5" customHeight="1" x14ac:dyDescent="0.25">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spans="1:26" ht="10.5" customHeight="1" x14ac:dyDescent="0.25">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spans="1:26" ht="10.5" customHeight="1" x14ac:dyDescent="0.25">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spans="1:26" ht="10.5" customHeight="1" x14ac:dyDescent="0.25">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spans="1:26" ht="10.5" customHeight="1" x14ac:dyDescent="0.25">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spans="1:26" ht="10.5" customHeight="1" x14ac:dyDescent="0.25">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spans="1:26" ht="10.5" customHeight="1" x14ac:dyDescent="0.25">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spans="1:26" ht="10.5" customHeight="1" x14ac:dyDescent="0.25">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spans="1:26" ht="10.5" customHeight="1" x14ac:dyDescent="0.25">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spans="1:26" ht="10.5" customHeight="1" x14ac:dyDescent="0.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spans="1:26" ht="10.5" customHeight="1" x14ac:dyDescent="0.25">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spans="1:26" ht="10.5" customHeight="1" x14ac:dyDescent="0.25">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spans="1:26" ht="10.5" customHeight="1" x14ac:dyDescent="0.25">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spans="1:26" ht="10.5" customHeight="1" x14ac:dyDescent="0.25">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spans="1:26" ht="10.5" customHeight="1" x14ac:dyDescent="0.25">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spans="1:26" ht="10.5" customHeight="1" x14ac:dyDescent="0.25">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spans="1:26" ht="10.5" customHeight="1" x14ac:dyDescent="0.25">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spans="1:26" ht="10.5" customHeight="1" x14ac:dyDescent="0.25">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spans="1:26" ht="10.5" customHeight="1" x14ac:dyDescent="0.25">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spans="1:26" ht="10.5" customHeight="1" x14ac:dyDescent="0.2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spans="1:26" ht="10.5" customHeight="1" x14ac:dyDescent="0.25">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spans="1:26" ht="10.5" customHeight="1" x14ac:dyDescent="0.25">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spans="1:26" ht="10.5" customHeight="1" x14ac:dyDescent="0.25">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spans="1:26" ht="10.5" customHeight="1" x14ac:dyDescent="0.25">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spans="1:26" ht="10.5" customHeight="1" x14ac:dyDescent="0.25">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spans="1:26" ht="10.5" customHeight="1" x14ac:dyDescent="0.25">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spans="1:26" ht="10.5" customHeight="1" x14ac:dyDescent="0.25">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spans="1:26" ht="10.5" customHeight="1" x14ac:dyDescent="0.25">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spans="1:26" ht="10.5" customHeight="1" x14ac:dyDescent="0.25">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spans="1:26" ht="10.5" customHeight="1" x14ac:dyDescent="0.2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spans="1:26" ht="10.5" customHeight="1" x14ac:dyDescent="0.25">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spans="1:26" ht="10.5" customHeight="1" x14ac:dyDescent="0.25">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spans="1:26" ht="10.5" customHeight="1" x14ac:dyDescent="0.25">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spans="1:26" ht="10.5" customHeight="1" x14ac:dyDescent="0.25">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spans="1:26" ht="10.5" customHeight="1" x14ac:dyDescent="0.25">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spans="1:26" ht="10.5" customHeight="1" x14ac:dyDescent="0.25">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spans="1:26" ht="10.5" customHeight="1" x14ac:dyDescent="0.25">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spans="1:26" ht="10.5" customHeight="1" x14ac:dyDescent="0.25">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spans="1:26" ht="10.5" customHeight="1" x14ac:dyDescent="0.25">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spans="1:26" ht="10.5" customHeight="1" x14ac:dyDescent="0.2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spans="1:26" ht="10.5" customHeight="1" x14ac:dyDescent="0.25">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spans="1:26" ht="10.5" customHeight="1" x14ac:dyDescent="0.25">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spans="1:26" ht="10.5" customHeight="1" x14ac:dyDescent="0.25">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spans="1:26" ht="10.5" customHeight="1" x14ac:dyDescent="0.25">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spans="1:26" ht="10.5" customHeight="1" x14ac:dyDescent="0.25">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spans="1:26" ht="10.5" customHeight="1" x14ac:dyDescent="0.25">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spans="1:26" ht="10.5" customHeight="1" x14ac:dyDescent="0.25">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spans="1:26" ht="10.5" customHeight="1" x14ac:dyDescent="0.25">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spans="1:26" ht="10.5" customHeight="1" x14ac:dyDescent="0.25">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spans="1:26" ht="10.5" customHeight="1" x14ac:dyDescent="0.2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spans="1:26" ht="10.5" customHeight="1" x14ac:dyDescent="0.25">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spans="1:26" ht="10.5" customHeight="1" x14ac:dyDescent="0.25">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spans="1:26" ht="10.5" customHeight="1" x14ac:dyDescent="0.25">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spans="1:26" ht="10.5" customHeight="1" x14ac:dyDescent="0.25">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spans="1:26" ht="10.5" customHeight="1" x14ac:dyDescent="0.25">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spans="1:26" ht="10.5" customHeight="1" x14ac:dyDescent="0.25">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spans="1:26" ht="10.5" customHeight="1" x14ac:dyDescent="0.25">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spans="1:26" ht="10.5" customHeight="1" x14ac:dyDescent="0.25">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spans="1:26" ht="10.5" customHeight="1" x14ac:dyDescent="0.25">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spans="1:26" ht="10.5" customHeight="1" x14ac:dyDescent="0.2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spans="1:26" ht="10.5" customHeight="1" x14ac:dyDescent="0.25">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spans="1:26" ht="10.5" customHeight="1" x14ac:dyDescent="0.25">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spans="1:26" ht="10.5" customHeight="1" x14ac:dyDescent="0.25">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spans="1:26" ht="10.5" customHeight="1" x14ac:dyDescent="0.25">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spans="1:26" ht="10.5" customHeight="1" x14ac:dyDescent="0.25">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spans="1:26" ht="10.5" customHeight="1" x14ac:dyDescent="0.25">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spans="1:26" ht="10.5" customHeight="1" x14ac:dyDescent="0.25">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spans="1:26" ht="10.5" customHeight="1" x14ac:dyDescent="0.25">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spans="1:26" ht="10.5" customHeight="1" x14ac:dyDescent="0.25">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spans="1:26" ht="10.5" customHeight="1" x14ac:dyDescent="0.2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spans="1:26" ht="10.5" customHeight="1" x14ac:dyDescent="0.25">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spans="1:26" ht="10.5" customHeight="1" x14ac:dyDescent="0.25">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spans="1:26" ht="10.5" customHeight="1" x14ac:dyDescent="0.25">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spans="1:26" ht="10.5" customHeight="1" x14ac:dyDescent="0.25">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spans="1:26" ht="10.5" customHeight="1" x14ac:dyDescent="0.25">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spans="1:26" ht="10.5" customHeight="1" x14ac:dyDescent="0.25">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spans="1:26" ht="10.5" customHeight="1" x14ac:dyDescent="0.25">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spans="1:26" ht="10.5" customHeight="1" x14ac:dyDescent="0.25">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spans="1:26" ht="10.5" customHeight="1" x14ac:dyDescent="0.25">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spans="1:26" ht="10.5" customHeight="1" x14ac:dyDescent="0.2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spans="1:26" ht="10.5" customHeight="1" x14ac:dyDescent="0.25">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spans="1:26" ht="10.5" customHeight="1" x14ac:dyDescent="0.25">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spans="1:26" ht="10.5" customHeight="1" x14ac:dyDescent="0.25">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spans="1:26" ht="10.5" customHeight="1" x14ac:dyDescent="0.25">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spans="1:26" ht="10.5" customHeight="1" x14ac:dyDescent="0.25">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spans="1:26" ht="10.5" customHeight="1" x14ac:dyDescent="0.25">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spans="1:26" ht="10.5" customHeight="1" x14ac:dyDescent="0.25">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spans="1:26" ht="10.5" customHeight="1" x14ac:dyDescent="0.25">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spans="1:26" ht="10.5" customHeight="1" x14ac:dyDescent="0.25">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spans="1:26" ht="10.5" customHeight="1" x14ac:dyDescent="0.2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spans="1:26" ht="10.5" customHeight="1" x14ac:dyDescent="0.25">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spans="1:26" ht="10.5" customHeight="1" x14ac:dyDescent="0.25">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spans="1:26" ht="10.5" customHeight="1" x14ac:dyDescent="0.25">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spans="1:26" ht="10.5" customHeight="1" x14ac:dyDescent="0.25">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spans="1:26" ht="10.5" customHeight="1" x14ac:dyDescent="0.25">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spans="1:26" ht="10.5" customHeight="1" x14ac:dyDescent="0.25">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spans="1:26" ht="10.5" customHeight="1" x14ac:dyDescent="0.25">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spans="1:26" ht="10.5" customHeight="1" x14ac:dyDescent="0.25">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spans="1:26" ht="10.5" customHeight="1" x14ac:dyDescent="0.25">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spans="1:26" ht="10.5" customHeight="1" x14ac:dyDescent="0.2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spans="1:26" ht="10.5" customHeight="1" x14ac:dyDescent="0.25">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spans="1:26" ht="10.5" customHeight="1" x14ac:dyDescent="0.25">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spans="1:26" ht="10.5" customHeight="1" x14ac:dyDescent="0.25">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spans="1:26" ht="10.5" customHeight="1" x14ac:dyDescent="0.25">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spans="1:26" ht="10.5" customHeight="1" x14ac:dyDescent="0.25">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spans="1:26" ht="10.5" customHeight="1" x14ac:dyDescent="0.25">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spans="1:26" ht="10.5" customHeight="1" x14ac:dyDescent="0.25">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spans="1:26" ht="10.5" customHeight="1" x14ac:dyDescent="0.25">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spans="1:26" ht="10.5" customHeight="1" x14ac:dyDescent="0.25">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spans="1:26" ht="10.5" customHeight="1" x14ac:dyDescent="0.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spans="1:26" ht="10.5" customHeight="1" x14ac:dyDescent="0.25">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spans="1:26" ht="10.5" customHeight="1" x14ac:dyDescent="0.25">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spans="1:26" ht="10.5" customHeight="1" x14ac:dyDescent="0.25">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spans="1:26" ht="10.5" customHeight="1" x14ac:dyDescent="0.25">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spans="1:26" ht="10.5" customHeight="1" x14ac:dyDescent="0.25">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spans="1:26" ht="10.5" customHeight="1" x14ac:dyDescent="0.25">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spans="1:26" ht="10.5" customHeight="1" x14ac:dyDescent="0.25">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spans="1:26" ht="10.5" customHeight="1" x14ac:dyDescent="0.25">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spans="1:26" ht="10.5" customHeight="1" x14ac:dyDescent="0.25">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spans="1:26" ht="10.5" customHeight="1" x14ac:dyDescent="0.2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spans="1:26" ht="10.5" customHeight="1" x14ac:dyDescent="0.25">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spans="1:26" ht="10.5" customHeight="1" x14ac:dyDescent="0.25">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spans="1:26" ht="10.5" customHeight="1" x14ac:dyDescent="0.25">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spans="1:26" ht="10.5" customHeight="1" x14ac:dyDescent="0.25">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spans="1:26" ht="10.5" customHeight="1" x14ac:dyDescent="0.25">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spans="1:26" ht="10.5" customHeight="1" x14ac:dyDescent="0.25">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spans="1:26" ht="10.5" customHeight="1" x14ac:dyDescent="0.25">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spans="1:26" ht="10.5" customHeight="1" x14ac:dyDescent="0.25">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spans="1:26" ht="10.5" customHeight="1" x14ac:dyDescent="0.25">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spans="1:26" ht="10.5" customHeight="1" x14ac:dyDescent="0.2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spans="1:26" ht="10.5" customHeight="1" x14ac:dyDescent="0.25">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spans="1:26" ht="10.5" customHeight="1" x14ac:dyDescent="0.25">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spans="1:26" ht="10.5" customHeight="1" x14ac:dyDescent="0.25">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spans="1:26" ht="10.5" customHeight="1" x14ac:dyDescent="0.25">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spans="1:26" ht="10.5" customHeight="1" x14ac:dyDescent="0.25">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spans="1:26" ht="10.5" customHeight="1" x14ac:dyDescent="0.25">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spans="1:26" ht="10.5" customHeight="1" x14ac:dyDescent="0.25">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spans="1:26" ht="10.5" customHeight="1" x14ac:dyDescent="0.25">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spans="1:26" ht="10.5" customHeight="1" x14ac:dyDescent="0.25">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spans="1:26" ht="10.5" customHeight="1" x14ac:dyDescent="0.2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spans="1:26" ht="10.5" customHeight="1" x14ac:dyDescent="0.25">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spans="1:26" ht="10.5" customHeight="1" x14ac:dyDescent="0.25">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spans="1:26" ht="10.5" customHeight="1" x14ac:dyDescent="0.25">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spans="1:26" ht="10.5" customHeight="1" x14ac:dyDescent="0.25">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spans="1:26" ht="10.5" customHeight="1" x14ac:dyDescent="0.25">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spans="1:26" ht="10.5" customHeight="1" x14ac:dyDescent="0.25">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spans="1:26" ht="10.5" customHeight="1" x14ac:dyDescent="0.25">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spans="1:26" ht="10.5" customHeight="1" x14ac:dyDescent="0.25">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spans="1:26" ht="10.5" customHeight="1" x14ac:dyDescent="0.25">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spans="1:26" ht="10.5" customHeight="1" x14ac:dyDescent="0.2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spans="1:26" ht="10.5" customHeight="1" x14ac:dyDescent="0.25">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spans="1:26" ht="10.5" customHeight="1" x14ac:dyDescent="0.25">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spans="1:26" ht="10.5" customHeight="1" x14ac:dyDescent="0.25">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spans="1:26" ht="10.5" customHeight="1" x14ac:dyDescent="0.25">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spans="1:26" ht="10.5" customHeight="1" x14ac:dyDescent="0.25">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spans="1:26" ht="10.5" customHeight="1" x14ac:dyDescent="0.25">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spans="1:26" ht="10.5" customHeight="1" x14ac:dyDescent="0.25">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spans="1:26" ht="10.5" customHeight="1" x14ac:dyDescent="0.25">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spans="1:26" ht="10.5" customHeight="1" x14ac:dyDescent="0.25">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spans="1:26" ht="10.5" customHeight="1" x14ac:dyDescent="0.2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spans="1:26" ht="10.5" customHeight="1" x14ac:dyDescent="0.25">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spans="1:26" ht="10.5" customHeight="1" x14ac:dyDescent="0.25">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spans="1:26" ht="10.5" customHeight="1" x14ac:dyDescent="0.25">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spans="1:26" ht="10.5" customHeight="1" x14ac:dyDescent="0.25">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spans="1:26" ht="10.5" customHeight="1" x14ac:dyDescent="0.25">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spans="1:26" ht="10.5" customHeight="1" x14ac:dyDescent="0.25">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spans="1:26" ht="10.5" customHeight="1" x14ac:dyDescent="0.25">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spans="1:26" ht="10.5" customHeight="1" x14ac:dyDescent="0.25">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spans="1:26" ht="10.5" customHeight="1" x14ac:dyDescent="0.25">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spans="1:26" ht="10.5" customHeight="1" x14ac:dyDescent="0.2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spans="1:26" ht="10.5" customHeight="1" x14ac:dyDescent="0.25">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spans="1:26" ht="10.5" customHeight="1" x14ac:dyDescent="0.25">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spans="1:26" ht="10.5" customHeight="1" x14ac:dyDescent="0.25">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spans="1:26" ht="10.5" customHeight="1" x14ac:dyDescent="0.25">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spans="1:26" ht="10.5" customHeight="1" x14ac:dyDescent="0.25">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spans="1:26" ht="10.5" customHeight="1" x14ac:dyDescent="0.25">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spans="1:26" ht="10.5" customHeight="1" x14ac:dyDescent="0.25">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spans="1:26" ht="10.5" customHeight="1" x14ac:dyDescent="0.25">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spans="1:26" ht="10.5" customHeight="1" x14ac:dyDescent="0.25">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spans="1:26" ht="10.5" customHeight="1" x14ac:dyDescent="0.2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spans="1:26" ht="10.5" customHeight="1" x14ac:dyDescent="0.25">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spans="1:26" ht="10.5" customHeight="1" x14ac:dyDescent="0.25">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spans="1:26" ht="10.5" customHeight="1" x14ac:dyDescent="0.25">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spans="1:26" ht="10.5" customHeight="1" x14ac:dyDescent="0.25">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spans="1:26" ht="10.5" customHeight="1" x14ac:dyDescent="0.25">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spans="1:26" ht="10.5" customHeight="1" x14ac:dyDescent="0.25">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spans="1:26" ht="10.5" customHeight="1" x14ac:dyDescent="0.25">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spans="1:26" ht="10.5" customHeight="1" x14ac:dyDescent="0.25">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spans="1:26" ht="10.5" customHeight="1" x14ac:dyDescent="0.25">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spans="1:26" ht="10.5" customHeight="1" x14ac:dyDescent="0.2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spans="1:26" ht="10.5" customHeight="1" x14ac:dyDescent="0.25">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spans="1:26" ht="10.5" customHeight="1" x14ac:dyDescent="0.25">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spans="1:26" ht="10.5" customHeight="1" x14ac:dyDescent="0.25">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spans="1:26" ht="10.5" customHeight="1" x14ac:dyDescent="0.25">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spans="1:26" ht="10.5" customHeight="1" x14ac:dyDescent="0.25">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spans="1:26" ht="10.5" customHeight="1" x14ac:dyDescent="0.25">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spans="1:26" ht="10.5" customHeight="1" x14ac:dyDescent="0.25">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spans="1:26" ht="10.5" customHeight="1" x14ac:dyDescent="0.25">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spans="1:26" ht="10.5" customHeight="1" x14ac:dyDescent="0.25">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spans="1:26" ht="10.5" customHeight="1" x14ac:dyDescent="0.2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spans="1:26" ht="10.5" customHeight="1" x14ac:dyDescent="0.25">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spans="1:26" ht="10.5" customHeight="1" x14ac:dyDescent="0.25">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spans="1:26" ht="10.5" customHeight="1" x14ac:dyDescent="0.25">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spans="1:26" ht="10.5" customHeight="1" x14ac:dyDescent="0.25">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spans="1:26" ht="10.5" customHeight="1" x14ac:dyDescent="0.25">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spans="1:26" ht="10.5" customHeight="1" x14ac:dyDescent="0.25">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spans="1:26" ht="10.5" customHeight="1" x14ac:dyDescent="0.25">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spans="1:26" ht="10.5" customHeight="1" x14ac:dyDescent="0.25">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spans="1:26" ht="10.5" customHeight="1" x14ac:dyDescent="0.25">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spans="1:26" ht="10.5" customHeight="1" x14ac:dyDescent="0.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spans="1:26" ht="10.5" customHeight="1" x14ac:dyDescent="0.25">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spans="1:26" ht="10.5" customHeight="1" x14ac:dyDescent="0.25">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spans="1:26" ht="10.5" customHeight="1" x14ac:dyDescent="0.25">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spans="1:26" ht="10.5" customHeight="1" x14ac:dyDescent="0.25">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spans="1:26" ht="10.5" customHeight="1" x14ac:dyDescent="0.25">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spans="1:26" ht="10.5" customHeight="1" x14ac:dyDescent="0.25">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spans="1:26" ht="10.5" customHeight="1" x14ac:dyDescent="0.25">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spans="1:26" ht="10.5" customHeight="1" x14ac:dyDescent="0.25">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spans="1:26" ht="10.5" customHeight="1" x14ac:dyDescent="0.25">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spans="1:26" ht="10.5" customHeight="1" x14ac:dyDescent="0.2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spans="1:26" ht="10.5" customHeight="1" x14ac:dyDescent="0.25">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spans="1:26" ht="10.5" customHeight="1" x14ac:dyDescent="0.25">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spans="1:26" ht="10.5" customHeight="1" x14ac:dyDescent="0.25">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spans="1:26" ht="10.5" customHeight="1" x14ac:dyDescent="0.25">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spans="1:26" ht="10.5" customHeight="1" x14ac:dyDescent="0.25">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spans="1:26" ht="10.5" customHeight="1" x14ac:dyDescent="0.25">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spans="1:26" ht="10.5" customHeight="1" x14ac:dyDescent="0.25">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spans="1:26" ht="10.5" customHeight="1" x14ac:dyDescent="0.25">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spans="1:26" ht="10.5" customHeight="1" x14ac:dyDescent="0.25">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spans="1:26" ht="10.5" customHeight="1" x14ac:dyDescent="0.2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spans="1:26" ht="10.5" customHeight="1" x14ac:dyDescent="0.25">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spans="1:26" ht="10.5" customHeight="1" x14ac:dyDescent="0.25">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spans="1:26" ht="10.5" customHeight="1" x14ac:dyDescent="0.25">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spans="1:26" ht="10.5" customHeight="1" x14ac:dyDescent="0.25">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spans="1:26" ht="10.5" customHeight="1" x14ac:dyDescent="0.25">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spans="1:26" ht="10.5" customHeight="1" x14ac:dyDescent="0.25">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spans="1:26" ht="10.5" customHeight="1" x14ac:dyDescent="0.25">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spans="1:26" ht="10.5" customHeight="1" x14ac:dyDescent="0.25">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spans="1:26" ht="10.5" customHeight="1" x14ac:dyDescent="0.25">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spans="1:26" ht="10.5" customHeight="1" x14ac:dyDescent="0.2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spans="1:26" ht="10.5" customHeight="1" x14ac:dyDescent="0.25">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spans="1:26" ht="10.5" customHeight="1" x14ac:dyDescent="0.25">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spans="1:26" ht="10.5" customHeight="1" x14ac:dyDescent="0.25">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spans="1:26" ht="10.5" customHeight="1" x14ac:dyDescent="0.25">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spans="1:26" ht="10.5" customHeight="1" x14ac:dyDescent="0.25">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spans="1:26" ht="10.5" customHeight="1" x14ac:dyDescent="0.25">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spans="1:26" ht="10.5" customHeight="1" x14ac:dyDescent="0.25">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spans="1:26" ht="10.5" customHeight="1" x14ac:dyDescent="0.25">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spans="1:26" ht="10.5" customHeight="1" x14ac:dyDescent="0.25">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spans="1:26" ht="10.5" customHeight="1" x14ac:dyDescent="0.2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spans="1:26" ht="10.5" customHeight="1" x14ac:dyDescent="0.25">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spans="1:26" ht="10.5" customHeight="1" x14ac:dyDescent="0.25">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spans="1:26" ht="10.5" customHeight="1" x14ac:dyDescent="0.25">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spans="1:26" ht="10.5" customHeight="1" x14ac:dyDescent="0.25">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spans="1:26" ht="10.5" customHeight="1" x14ac:dyDescent="0.25">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spans="1:26" ht="10.5" customHeight="1" x14ac:dyDescent="0.25">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spans="1:26" ht="10.5" customHeight="1" x14ac:dyDescent="0.25">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spans="1:26" ht="10.5" customHeight="1" x14ac:dyDescent="0.25">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spans="1:26" ht="10.5" customHeight="1" x14ac:dyDescent="0.25">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spans="1:26" ht="10.5" customHeight="1" x14ac:dyDescent="0.2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spans="1:26" ht="10.5" customHeight="1" x14ac:dyDescent="0.25">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spans="1:26" ht="10.5" customHeight="1" x14ac:dyDescent="0.25">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spans="1:26" ht="10.5" customHeight="1" x14ac:dyDescent="0.25">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spans="1:26" ht="10.5" customHeight="1" x14ac:dyDescent="0.25">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spans="1:26" ht="10.5" customHeight="1" x14ac:dyDescent="0.25">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spans="1:26" ht="10.5" customHeight="1" x14ac:dyDescent="0.25">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spans="1:26" ht="10.5" customHeight="1" x14ac:dyDescent="0.25">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spans="1:26" ht="10.5" customHeight="1" x14ac:dyDescent="0.25">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spans="1:26" ht="10.5" customHeight="1" x14ac:dyDescent="0.25">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spans="1:26" ht="10.5" customHeight="1" x14ac:dyDescent="0.2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spans="1:26" ht="10.5" customHeight="1" x14ac:dyDescent="0.25">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spans="1:26" ht="10.5" customHeight="1" x14ac:dyDescent="0.25">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spans="1:26" ht="10.5" customHeight="1" x14ac:dyDescent="0.25">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spans="1:26" ht="10.5" customHeight="1" x14ac:dyDescent="0.25">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spans="1:26" ht="10.5" customHeight="1" x14ac:dyDescent="0.25">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spans="1:26" ht="10.5" customHeight="1" x14ac:dyDescent="0.25">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spans="1:26" ht="10.5" customHeight="1" x14ac:dyDescent="0.25">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spans="1:26" ht="10.5" customHeight="1" x14ac:dyDescent="0.25">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spans="1:26" ht="10.5" customHeight="1" x14ac:dyDescent="0.25">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spans="1:26" ht="10.5" customHeight="1" x14ac:dyDescent="0.2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spans="1:26" ht="10.5" customHeight="1" x14ac:dyDescent="0.25">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spans="1:26" ht="10.5" customHeight="1" x14ac:dyDescent="0.25">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spans="1:26" ht="10.5" customHeight="1" x14ac:dyDescent="0.25">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spans="1:26" ht="10.5" customHeight="1" x14ac:dyDescent="0.25">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spans="1:26" ht="10.5" customHeight="1" x14ac:dyDescent="0.25">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spans="1:26" ht="10.5" customHeight="1" x14ac:dyDescent="0.25">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spans="1:26" ht="10.5" customHeight="1" x14ac:dyDescent="0.25">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spans="1:26" ht="10.5" customHeight="1" x14ac:dyDescent="0.25">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spans="1:26" ht="10.5" customHeight="1" x14ac:dyDescent="0.25">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spans="1:26" ht="10.5" customHeight="1" x14ac:dyDescent="0.2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spans="1:26" ht="10.5" customHeight="1" x14ac:dyDescent="0.25">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spans="1:26" ht="10.5" customHeight="1" x14ac:dyDescent="0.25">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spans="1:26" ht="10.5" customHeight="1" x14ac:dyDescent="0.25">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spans="1:26" ht="10.5" customHeight="1" x14ac:dyDescent="0.25">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spans="1:26" ht="10.5" customHeight="1" x14ac:dyDescent="0.25">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spans="1:26" ht="10.5" customHeight="1" x14ac:dyDescent="0.25">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spans="1:26" ht="10.5" customHeight="1" x14ac:dyDescent="0.25">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spans="1:26" ht="10.5" customHeight="1" x14ac:dyDescent="0.25">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spans="1:26" ht="10.5" customHeight="1" x14ac:dyDescent="0.25">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spans="1:26" ht="10.5" customHeight="1" x14ac:dyDescent="0.2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spans="1:26" ht="10.5" customHeight="1" x14ac:dyDescent="0.25">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spans="1:26" ht="10.5" customHeight="1" x14ac:dyDescent="0.25">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spans="1:26" ht="10.5" customHeight="1" x14ac:dyDescent="0.25">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spans="1:26" ht="10.5" customHeight="1" x14ac:dyDescent="0.25">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spans="1:26" ht="10.5" customHeight="1" x14ac:dyDescent="0.25">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spans="1:26" ht="10.5" customHeight="1" x14ac:dyDescent="0.25">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spans="1:26" ht="10.5" customHeight="1" x14ac:dyDescent="0.25">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spans="1:26" ht="10.5" customHeight="1" x14ac:dyDescent="0.25">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spans="1:26" ht="10.5" customHeight="1" x14ac:dyDescent="0.25">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spans="1:26" ht="10.5" customHeight="1" x14ac:dyDescent="0.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spans="1:26" ht="10.5" customHeight="1" x14ac:dyDescent="0.25">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spans="1:26" ht="10.5" customHeight="1" x14ac:dyDescent="0.25">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spans="1:26" ht="10.5" customHeight="1" x14ac:dyDescent="0.25">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spans="1:26" ht="10.5" customHeight="1" x14ac:dyDescent="0.25">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spans="1:26" ht="10.5" customHeight="1" x14ac:dyDescent="0.25">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spans="1:26" ht="10.5" customHeight="1" x14ac:dyDescent="0.25">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spans="1:26" ht="10.5" customHeight="1" x14ac:dyDescent="0.25">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spans="1:26" ht="10.5" customHeight="1" x14ac:dyDescent="0.25">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spans="1:26" ht="10.5" customHeight="1" x14ac:dyDescent="0.25">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spans="1:26" ht="10.5" customHeight="1" x14ac:dyDescent="0.2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spans="1:26" ht="10.5" customHeight="1" x14ac:dyDescent="0.25">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spans="1:26" ht="10.5" customHeight="1" x14ac:dyDescent="0.25">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spans="1:26" ht="10.5" customHeight="1" x14ac:dyDescent="0.25">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spans="1:26" ht="10.5" customHeight="1" x14ac:dyDescent="0.25">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spans="1:26" ht="10.5" customHeight="1" x14ac:dyDescent="0.25">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spans="1:26" ht="10.5" customHeight="1" x14ac:dyDescent="0.25">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spans="1:26" ht="10.5" customHeight="1" x14ac:dyDescent="0.25">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spans="1:26" ht="10.5" customHeight="1" x14ac:dyDescent="0.25">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spans="1:26" ht="10.5" customHeight="1" x14ac:dyDescent="0.25">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spans="1:26" ht="10.5" customHeight="1" x14ac:dyDescent="0.2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spans="1:26" ht="10.5" customHeight="1" x14ac:dyDescent="0.25">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spans="1:26" ht="10.5" customHeight="1" x14ac:dyDescent="0.25">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spans="1:26" ht="10.5" customHeight="1" x14ac:dyDescent="0.25">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spans="1:26" ht="10.5" customHeight="1" x14ac:dyDescent="0.25">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spans="1:26" ht="10.5" customHeight="1" x14ac:dyDescent="0.25">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spans="1:26" ht="10.5" customHeight="1" x14ac:dyDescent="0.25">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spans="1:26" ht="10.5" customHeight="1" x14ac:dyDescent="0.25">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spans="1:26" ht="10.5" customHeight="1" x14ac:dyDescent="0.25">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spans="1:26" ht="10.5" customHeight="1" x14ac:dyDescent="0.25">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spans="1:26" ht="10.5" customHeight="1" x14ac:dyDescent="0.2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spans="1:26" ht="10.5" customHeight="1" x14ac:dyDescent="0.25">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spans="1:26" ht="10.5" customHeight="1" x14ac:dyDescent="0.25">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spans="1:26" ht="10.5" customHeight="1" x14ac:dyDescent="0.25">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spans="1:26" ht="10.5" customHeight="1" x14ac:dyDescent="0.25">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spans="1:26" ht="10.5" customHeight="1" x14ac:dyDescent="0.25">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spans="1:26" ht="10.5" customHeight="1" x14ac:dyDescent="0.25">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spans="1:26" ht="10.5" customHeight="1" x14ac:dyDescent="0.25">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spans="1:26" ht="10.5" customHeight="1" x14ac:dyDescent="0.25">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spans="1:26" ht="10.5" customHeight="1" x14ac:dyDescent="0.25">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spans="1:26" ht="10.5" customHeight="1" x14ac:dyDescent="0.2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spans="1:26" ht="10.5" customHeight="1" x14ac:dyDescent="0.25">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spans="1:26" ht="10.5" customHeight="1" x14ac:dyDescent="0.25">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spans="1:26" ht="10.5" customHeight="1" x14ac:dyDescent="0.25">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spans="1:26" ht="10.5" customHeight="1" x14ac:dyDescent="0.25">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spans="1:26" ht="10.5" customHeight="1" x14ac:dyDescent="0.25">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spans="1:26" ht="10.5" customHeight="1" x14ac:dyDescent="0.25">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spans="1:26" ht="10.5" customHeight="1" x14ac:dyDescent="0.25">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spans="1:26" ht="10.5" customHeight="1" x14ac:dyDescent="0.25">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spans="1:26" ht="10.5" customHeight="1" x14ac:dyDescent="0.25">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spans="1:26" ht="10.5" customHeight="1" x14ac:dyDescent="0.2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spans="1:26" ht="10.5" customHeight="1" x14ac:dyDescent="0.25">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spans="1:26" ht="10.5" customHeight="1" x14ac:dyDescent="0.25">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spans="1:26" ht="10.5" customHeight="1" x14ac:dyDescent="0.25">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spans="1:26" ht="10.5" customHeight="1" x14ac:dyDescent="0.25">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spans="1:26" ht="10.5" customHeight="1" x14ac:dyDescent="0.25">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spans="1:26" ht="10.5" customHeight="1" x14ac:dyDescent="0.25">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spans="1:26" ht="10.5" customHeight="1" x14ac:dyDescent="0.25">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spans="1:26" ht="10.5" customHeight="1" x14ac:dyDescent="0.25">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spans="1:26" ht="10.5" customHeight="1" x14ac:dyDescent="0.25">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spans="1:26" ht="10.5" customHeight="1" x14ac:dyDescent="0.2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spans="1:26" ht="10.5" customHeight="1" x14ac:dyDescent="0.25">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spans="1:26" ht="10.5" customHeight="1" x14ac:dyDescent="0.25">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spans="1:26" ht="10.5" customHeight="1" x14ac:dyDescent="0.25">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spans="1:26" ht="10.5" customHeight="1" x14ac:dyDescent="0.25">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spans="1:26" ht="10.5" customHeight="1" x14ac:dyDescent="0.25">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spans="1:26" ht="10.5" customHeight="1" x14ac:dyDescent="0.25">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spans="1:26" ht="10.5" customHeight="1" x14ac:dyDescent="0.25">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spans="1:26" ht="10.5" customHeight="1" x14ac:dyDescent="0.25">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spans="1:26" ht="10.5" customHeight="1" x14ac:dyDescent="0.25">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spans="1:26" ht="10.5" customHeight="1" x14ac:dyDescent="0.2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spans="1:26" ht="10.5" customHeight="1" x14ac:dyDescent="0.25">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spans="1:26" ht="10.5" customHeight="1" x14ac:dyDescent="0.25">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spans="1:26" ht="10.5" customHeight="1" x14ac:dyDescent="0.25">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spans="1:26" ht="10.5" customHeight="1" x14ac:dyDescent="0.25">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spans="1:26" ht="10.5" customHeight="1" x14ac:dyDescent="0.25">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spans="1:26" ht="10.5" customHeight="1" x14ac:dyDescent="0.25">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spans="1:26" ht="10.5" customHeight="1" x14ac:dyDescent="0.25">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spans="1:26" ht="10.5" customHeight="1" x14ac:dyDescent="0.25">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spans="1:26" ht="10.5" customHeight="1" x14ac:dyDescent="0.25">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spans="1:26" ht="10.5" customHeight="1" x14ac:dyDescent="0.2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spans="1:26" ht="10.5" customHeight="1" x14ac:dyDescent="0.25">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spans="1:26" ht="10.5" customHeight="1" x14ac:dyDescent="0.25">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spans="1:26" ht="10.5" customHeight="1" x14ac:dyDescent="0.25">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spans="1:26" ht="10.5" customHeight="1" x14ac:dyDescent="0.25">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spans="1:26" ht="10.5" customHeight="1" x14ac:dyDescent="0.25">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spans="1:26" ht="10.5" customHeight="1" x14ac:dyDescent="0.25">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spans="1:26" ht="10.5" customHeight="1" x14ac:dyDescent="0.25">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spans="1:26" ht="10.5" customHeight="1" x14ac:dyDescent="0.25">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spans="1:26" ht="10.5" customHeight="1" x14ac:dyDescent="0.25">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spans="1:26" ht="10.5" customHeight="1" x14ac:dyDescent="0.2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spans="1:26" ht="10.5" customHeight="1" x14ac:dyDescent="0.25">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spans="1:26" ht="10.5" customHeight="1" x14ac:dyDescent="0.25">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spans="1:26" ht="10.5" customHeight="1" x14ac:dyDescent="0.25">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spans="1:26" ht="10.5" customHeight="1" x14ac:dyDescent="0.25">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spans="1:26" ht="10.5" customHeight="1" x14ac:dyDescent="0.25">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spans="1:26" ht="10.5" customHeight="1" x14ac:dyDescent="0.25">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spans="1:26" ht="10.5" customHeight="1" x14ac:dyDescent="0.25">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spans="1:26" ht="10.5" customHeight="1" x14ac:dyDescent="0.25">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spans="1:26" ht="10.5" customHeight="1" x14ac:dyDescent="0.25">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spans="1:26" ht="10.5" customHeight="1" x14ac:dyDescent="0.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spans="1:26" ht="10.5" customHeight="1" x14ac:dyDescent="0.25">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spans="1:26" ht="10.5" customHeight="1" x14ac:dyDescent="0.25">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spans="1:26" ht="10.5" customHeight="1" x14ac:dyDescent="0.25">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spans="1:26" ht="10.5" customHeight="1" x14ac:dyDescent="0.25">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spans="1:26" ht="10.5" customHeight="1" x14ac:dyDescent="0.25">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spans="1:26" ht="10.5" customHeight="1" x14ac:dyDescent="0.25">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spans="1:26" ht="10.5" customHeight="1" x14ac:dyDescent="0.25">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spans="1:26" ht="10.5" customHeight="1" x14ac:dyDescent="0.25">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spans="1:26" ht="10.5" customHeight="1" x14ac:dyDescent="0.25">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spans="1:26" ht="10.5" customHeight="1" x14ac:dyDescent="0.2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spans="1:26" ht="10.5" customHeight="1" x14ac:dyDescent="0.25">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spans="1:26" ht="10.5" customHeight="1" x14ac:dyDescent="0.25">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spans="1:26" ht="10.5" customHeight="1" x14ac:dyDescent="0.25">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spans="1:26" ht="10.5" customHeight="1" x14ac:dyDescent="0.25">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spans="1:26" ht="10.5" customHeight="1" x14ac:dyDescent="0.25">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spans="1:26" ht="10.5" customHeight="1" x14ac:dyDescent="0.25">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spans="1:26" ht="10.5" customHeight="1" x14ac:dyDescent="0.25">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spans="1:26" ht="10.5" customHeight="1" x14ac:dyDescent="0.25">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spans="1:26" ht="10.5" customHeight="1" x14ac:dyDescent="0.25">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spans="1:26" ht="10.5" customHeight="1" x14ac:dyDescent="0.2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spans="1:26" ht="10.5" customHeight="1" x14ac:dyDescent="0.25">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spans="1:26" ht="10.5" customHeight="1" x14ac:dyDescent="0.25">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spans="1:26" ht="10.5" customHeight="1" x14ac:dyDescent="0.25">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spans="1:26" ht="10.5" customHeight="1" x14ac:dyDescent="0.25">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spans="1:26" ht="10.5" customHeight="1" x14ac:dyDescent="0.25">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spans="1:26" ht="10.5" customHeight="1" x14ac:dyDescent="0.25">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spans="1:26" ht="10.5" customHeight="1" x14ac:dyDescent="0.25">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spans="1:26" ht="10.5" customHeight="1" x14ac:dyDescent="0.25">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spans="1:26" ht="10.5" customHeight="1" x14ac:dyDescent="0.25">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spans="1:26" ht="10.5" customHeight="1" x14ac:dyDescent="0.2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spans="1:26" ht="10.5" customHeight="1" x14ac:dyDescent="0.25">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spans="1:26" ht="10.5" customHeight="1" x14ac:dyDescent="0.25">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spans="1:26" ht="10.5" customHeight="1" x14ac:dyDescent="0.25">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spans="1:26" ht="10.5" customHeight="1" x14ac:dyDescent="0.25">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spans="1:26" ht="10.5" customHeight="1" x14ac:dyDescent="0.25">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spans="1:26" ht="10.5" customHeight="1" x14ac:dyDescent="0.25">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spans="1:26" ht="10.5" customHeight="1" x14ac:dyDescent="0.25">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spans="1:26" ht="10.5" customHeight="1" x14ac:dyDescent="0.25">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spans="1:26" ht="10.5" customHeight="1" x14ac:dyDescent="0.25">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spans="1:26" ht="10.5" customHeight="1" x14ac:dyDescent="0.2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spans="1:26" ht="10.5" customHeight="1" x14ac:dyDescent="0.25">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spans="1:26" ht="10.5" customHeight="1" x14ac:dyDescent="0.25">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spans="1:26" ht="10.5" customHeight="1" x14ac:dyDescent="0.25">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spans="1:26" ht="10.5" customHeight="1" x14ac:dyDescent="0.25">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spans="1:26" ht="10.5" customHeight="1" x14ac:dyDescent="0.25">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spans="1:26" ht="10.5" customHeight="1" x14ac:dyDescent="0.25">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spans="1:26" ht="10.5" customHeight="1" x14ac:dyDescent="0.25">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spans="1:26" ht="10.5" customHeight="1" x14ac:dyDescent="0.25">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spans="1:26" ht="10.5" customHeight="1" x14ac:dyDescent="0.25">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spans="1:26" ht="10.5" customHeight="1" x14ac:dyDescent="0.2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spans="1:26" ht="10.5" customHeight="1" x14ac:dyDescent="0.25">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spans="1:26" ht="10.5" customHeight="1" x14ac:dyDescent="0.25">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spans="1:26" ht="10.5" customHeight="1" x14ac:dyDescent="0.25">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spans="1:26" ht="10.5" customHeight="1" x14ac:dyDescent="0.25">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spans="1:26" ht="10.5" customHeight="1" x14ac:dyDescent="0.25">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spans="1:26" ht="10.5" customHeight="1" x14ac:dyDescent="0.25">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spans="1:26" ht="10.5" customHeight="1" x14ac:dyDescent="0.25">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spans="1:26" ht="10.5" customHeight="1" x14ac:dyDescent="0.25">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spans="1:26" ht="10.5" customHeight="1" x14ac:dyDescent="0.25">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spans="1:26" ht="10.5" customHeight="1" x14ac:dyDescent="0.2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spans="1:26" ht="10.5" customHeight="1" x14ac:dyDescent="0.25">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spans="1:26" ht="10.5" customHeight="1" x14ac:dyDescent="0.25">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spans="1:26" ht="10.5" customHeight="1" x14ac:dyDescent="0.25">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spans="1:26" ht="10.5" customHeight="1" x14ac:dyDescent="0.25">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spans="1:26" ht="10.5" customHeight="1" x14ac:dyDescent="0.25">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spans="1:26" ht="10.5" customHeight="1" x14ac:dyDescent="0.25">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spans="1:26" ht="10.5" customHeight="1" x14ac:dyDescent="0.25">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spans="1:26" ht="10.5" customHeight="1" x14ac:dyDescent="0.25">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spans="1:26" ht="10.5" customHeight="1" x14ac:dyDescent="0.25">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spans="1:26" ht="10.5" customHeight="1" x14ac:dyDescent="0.2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spans="1:26" ht="10.5" customHeight="1" x14ac:dyDescent="0.25">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spans="1:26" ht="10.5" customHeight="1" x14ac:dyDescent="0.25">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spans="1:26" ht="10.5" customHeight="1" x14ac:dyDescent="0.25">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spans="1:26" ht="10.5" customHeight="1" x14ac:dyDescent="0.25">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spans="1:26" ht="10.5" customHeight="1" x14ac:dyDescent="0.25">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spans="1:26" ht="10.5" customHeight="1" x14ac:dyDescent="0.25">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spans="1:26" ht="10.5" customHeight="1" x14ac:dyDescent="0.25">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spans="1:26" ht="10.5" customHeight="1" x14ac:dyDescent="0.25">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spans="1:26" ht="10.5" customHeight="1" x14ac:dyDescent="0.25">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spans="1:26" ht="10.5" customHeight="1" x14ac:dyDescent="0.2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spans="1:26" ht="10.5" customHeight="1" x14ac:dyDescent="0.25">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spans="1:26" ht="10.5" customHeight="1" x14ac:dyDescent="0.25">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spans="1:26" ht="10.5" customHeight="1" x14ac:dyDescent="0.25">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spans="1:26" ht="10.5" customHeight="1" x14ac:dyDescent="0.25">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spans="1:26" ht="10.5" customHeight="1" x14ac:dyDescent="0.25">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spans="1:26" ht="10.5" customHeight="1" x14ac:dyDescent="0.25">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spans="1:26" ht="10.5" customHeight="1" x14ac:dyDescent="0.25">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spans="1:26" ht="10.5" customHeight="1" x14ac:dyDescent="0.25">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spans="1:26" ht="10.5" customHeight="1" x14ac:dyDescent="0.25">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spans="1:26" ht="10.5" customHeight="1" x14ac:dyDescent="0.2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spans="1:26" ht="10.5" customHeight="1" x14ac:dyDescent="0.25">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spans="1:26" ht="10.5" customHeight="1" x14ac:dyDescent="0.25">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spans="1:26" ht="10.5" customHeight="1" x14ac:dyDescent="0.25">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spans="1:26" ht="10.5" customHeight="1" x14ac:dyDescent="0.25">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spans="1:26" ht="10.5" customHeight="1" x14ac:dyDescent="0.25">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spans="1:26" ht="10.5" customHeight="1" x14ac:dyDescent="0.25">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spans="1:26" ht="10.5" customHeight="1" x14ac:dyDescent="0.25">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spans="1:26" ht="10.5" customHeight="1" x14ac:dyDescent="0.25">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spans="1:26" ht="10.5" customHeight="1" x14ac:dyDescent="0.25">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spans="1:26" ht="10.5" customHeight="1" x14ac:dyDescent="0.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spans="1:26" ht="10.5" customHeight="1" x14ac:dyDescent="0.25">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spans="1:26" ht="10.5" customHeight="1" x14ac:dyDescent="0.25">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spans="1:26" ht="10.5" customHeight="1" x14ac:dyDescent="0.25">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spans="1:26" ht="10.5" customHeight="1" x14ac:dyDescent="0.25">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spans="1:26" ht="10.5" customHeight="1" x14ac:dyDescent="0.25">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spans="1:26" ht="10.5" customHeight="1" x14ac:dyDescent="0.25">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spans="1:26" ht="10.5" customHeight="1" x14ac:dyDescent="0.25">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spans="1:26" ht="10.5" customHeight="1" x14ac:dyDescent="0.25">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spans="1:26" ht="10.5" customHeight="1" x14ac:dyDescent="0.25">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spans="1:26" ht="10.5" customHeight="1" x14ac:dyDescent="0.2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spans="1:26" ht="10.5" customHeight="1" x14ac:dyDescent="0.25">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spans="1:26" ht="10.5" customHeight="1" x14ac:dyDescent="0.25">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spans="1:26" ht="10.5" customHeight="1" x14ac:dyDescent="0.25">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spans="1:26" ht="10.5" customHeight="1" x14ac:dyDescent="0.25">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spans="1:26" ht="10.5" customHeight="1" x14ac:dyDescent="0.25">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spans="1:26" ht="10.5" customHeight="1" x14ac:dyDescent="0.25">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spans="1:26" ht="10.5" customHeight="1" x14ac:dyDescent="0.25">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spans="1:26" ht="10.5" customHeight="1" x14ac:dyDescent="0.25">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spans="1:26" ht="10.5" customHeight="1" x14ac:dyDescent="0.25">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spans="1:26" ht="10.5" customHeight="1" x14ac:dyDescent="0.2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spans="1:26" ht="10.5" customHeight="1" x14ac:dyDescent="0.25">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spans="1:26" ht="10.5" customHeight="1" x14ac:dyDescent="0.25">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spans="1:26" ht="10.5" customHeight="1" x14ac:dyDescent="0.25">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spans="1:26" ht="10.5" customHeight="1" x14ac:dyDescent="0.25">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spans="1:26" ht="10.5" customHeight="1" x14ac:dyDescent="0.25">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spans="1:26" ht="10.5" customHeight="1" x14ac:dyDescent="0.25">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spans="1:26" ht="10.5" customHeight="1" x14ac:dyDescent="0.25">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spans="1:26" ht="10.5" customHeight="1" x14ac:dyDescent="0.25">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spans="1:26" ht="10.5" customHeight="1" x14ac:dyDescent="0.25">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spans="1:26" ht="10.5" customHeight="1" x14ac:dyDescent="0.2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spans="1:26" ht="10.5" customHeight="1" x14ac:dyDescent="0.25">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spans="1:26" ht="10.5" customHeight="1" x14ac:dyDescent="0.25">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spans="1:26" ht="10.5" customHeight="1" x14ac:dyDescent="0.25">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spans="1:26" ht="10.5" customHeight="1" x14ac:dyDescent="0.25">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spans="1:26" ht="10.5" customHeight="1" x14ac:dyDescent="0.25">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spans="1:26" ht="10.5" customHeight="1" x14ac:dyDescent="0.25">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spans="1:26" ht="10.5" customHeight="1" x14ac:dyDescent="0.25">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spans="1:26" ht="10.5" customHeight="1" x14ac:dyDescent="0.25">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spans="1:26" ht="10.5" customHeight="1" x14ac:dyDescent="0.25">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spans="1:26" ht="10.5" customHeight="1" x14ac:dyDescent="0.2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spans="1:26" ht="10.5" customHeight="1" x14ac:dyDescent="0.25">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spans="1:26" ht="10.5" customHeight="1" x14ac:dyDescent="0.25">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spans="1:26" ht="10.5" customHeight="1" x14ac:dyDescent="0.25">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spans="1:26" ht="10.5" customHeight="1" x14ac:dyDescent="0.25">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spans="1:26" ht="10.5" customHeight="1" x14ac:dyDescent="0.25">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spans="1:26" ht="10.5" customHeight="1" x14ac:dyDescent="0.25">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spans="1:26" ht="10.5" customHeight="1" x14ac:dyDescent="0.25">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spans="1:26" ht="10.5" customHeight="1" x14ac:dyDescent="0.25">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spans="1:26" ht="10.5" customHeight="1" x14ac:dyDescent="0.25">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spans="1:26" ht="10.5" customHeight="1" x14ac:dyDescent="0.2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spans="1:26" ht="10.5" customHeight="1" x14ac:dyDescent="0.25">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spans="1:26" ht="10.5" customHeight="1" x14ac:dyDescent="0.25">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spans="1:26" ht="10.5" customHeight="1" x14ac:dyDescent="0.25">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spans="1:26" ht="10.5" customHeight="1" x14ac:dyDescent="0.25">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spans="1:26" ht="10.5" customHeight="1" x14ac:dyDescent="0.25">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spans="1:26" ht="10.5" customHeight="1" x14ac:dyDescent="0.25">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spans="1:26" ht="10.5" customHeight="1" x14ac:dyDescent="0.25">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spans="1:26" ht="10.5" customHeight="1" x14ac:dyDescent="0.25">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spans="1:26" ht="10.5" customHeight="1" x14ac:dyDescent="0.25">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spans="1:26" ht="10.5" customHeight="1" x14ac:dyDescent="0.2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spans="1:26" ht="10.5" customHeight="1" x14ac:dyDescent="0.25">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spans="1:26" ht="10.5" customHeight="1" x14ac:dyDescent="0.25">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spans="1:26" ht="10.5" customHeight="1" x14ac:dyDescent="0.25">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spans="1:26" ht="10.5" customHeight="1" x14ac:dyDescent="0.25">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spans="1:26" ht="10.5" customHeight="1" x14ac:dyDescent="0.25">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spans="1:26" ht="10.5" customHeight="1" x14ac:dyDescent="0.25">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spans="1:26" ht="10.5" customHeight="1" x14ac:dyDescent="0.25">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spans="1:26" ht="10.5" customHeight="1" x14ac:dyDescent="0.25">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spans="1:26" ht="10.5" customHeight="1" x14ac:dyDescent="0.25">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spans="1:26" ht="10.5" customHeight="1" x14ac:dyDescent="0.2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spans="1:26" ht="10.5" customHeight="1" x14ac:dyDescent="0.25">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spans="1:26" ht="10.5" customHeight="1" x14ac:dyDescent="0.25">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spans="1:26" ht="10.5" customHeight="1" x14ac:dyDescent="0.25">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spans="1:26" ht="10.5" customHeight="1" x14ac:dyDescent="0.25">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spans="1:26" ht="10.5" customHeight="1" x14ac:dyDescent="0.25">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spans="1:26" ht="10.5" customHeight="1" x14ac:dyDescent="0.25">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spans="1:26" ht="10.5" customHeight="1" x14ac:dyDescent="0.25">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spans="1:26" ht="10.5" customHeight="1" x14ac:dyDescent="0.25">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spans="1:26" ht="10.5" customHeight="1" x14ac:dyDescent="0.25">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spans="1:26" ht="10.5" customHeight="1" x14ac:dyDescent="0.2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spans="1:26" ht="10.5" customHeight="1" x14ac:dyDescent="0.25">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spans="1:26" ht="10.5" customHeight="1" x14ac:dyDescent="0.25">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spans="1:26" ht="10.5" customHeight="1" x14ac:dyDescent="0.25">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spans="1:26" ht="10.5" customHeight="1" x14ac:dyDescent="0.25">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spans="1:26" ht="10.5" customHeight="1" x14ac:dyDescent="0.25">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spans="1:26" ht="10.5" customHeight="1" x14ac:dyDescent="0.25">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spans="1:26" ht="10.5" customHeight="1" x14ac:dyDescent="0.25">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spans="1:26" ht="10.5" customHeight="1" x14ac:dyDescent="0.25">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spans="1:26" ht="10.5" customHeight="1" x14ac:dyDescent="0.25">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spans="1:26" ht="10.5" customHeight="1" x14ac:dyDescent="0.2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spans="1:26" ht="10.5" customHeight="1" x14ac:dyDescent="0.25">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spans="1:26" ht="10.5" customHeight="1" x14ac:dyDescent="0.25">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spans="1:26" ht="10.5" customHeight="1" x14ac:dyDescent="0.25">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spans="1:26" ht="10.5" customHeight="1" x14ac:dyDescent="0.25">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spans="1:26" ht="10.5" customHeight="1" x14ac:dyDescent="0.25">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spans="1:26" ht="10.5" customHeight="1" x14ac:dyDescent="0.25">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spans="1:26" ht="10.5" customHeight="1" x14ac:dyDescent="0.25">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spans="1:26" ht="10.5" customHeight="1" x14ac:dyDescent="0.25">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spans="1:26" ht="10.5" customHeight="1" x14ac:dyDescent="0.25">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spans="1:26" ht="10.5" customHeight="1" x14ac:dyDescent="0.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spans="1:26" ht="10.5" customHeight="1" x14ac:dyDescent="0.25">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spans="1:26" ht="10.5" customHeight="1" x14ac:dyDescent="0.25">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spans="1:26" ht="10.5" customHeight="1" x14ac:dyDescent="0.25">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spans="1:26" ht="10.5" customHeight="1" x14ac:dyDescent="0.25">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spans="1:26" ht="10.5" customHeight="1" x14ac:dyDescent="0.25">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spans="1:26" ht="10.5" customHeight="1" x14ac:dyDescent="0.25">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spans="1:26" ht="10.5" customHeight="1" x14ac:dyDescent="0.25">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spans="1:26" ht="10.5" customHeight="1" x14ac:dyDescent="0.25">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spans="1:26" ht="10.5" customHeight="1" x14ac:dyDescent="0.25">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spans="1:26" ht="10.5" customHeight="1" x14ac:dyDescent="0.2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spans="1:26" ht="10.5" customHeight="1" x14ac:dyDescent="0.25">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spans="1:26" ht="10.5" customHeight="1" x14ac:dyDescent="0.25">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spans="1:26" ht="10.5" customHeight="1" x14ac:dyDescent="0.25">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spans="1:26" ht="10.5" customHeight="1" x14ac:dyDescent="0.25">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spans="1:26" ht="10.5" customHeight="1" x14ac:dyDescent="0.25">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spans="1:26" ht="10.5" customHeight="1" x14ac:dyDescent="0.25">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spans="1:26" ht="10.5" customHeight="1" x14ac:dyDescent="0.25">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spans="1:26" ht="10.5" customHeight="1" x14ac:dyDescent="0.25">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spans="1:26" ht="10.5" customHeight="1" x14ac:dyDescent="0.25">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spans="1:26" ht="10.5" customHeight="1" x14ac:dyDescent="0.2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spans="1:26" ht="10.5" customHeight="1" x14ac:dyDescent="0.25">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spans="1:26" ht="10.5" customHeight="1" x14ac:dyDescent="0.25">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spans="1:26" ht="10.5" customHeight="1" x14ac:dyDescent="0.25">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spans="1:26" ht="10.5" customHeight="1" x14ac:dyDescent="0.25">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spans="1:26" ht="10.5" customHeight="1" x14ac:dyDescent="0.25">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spans="1:26" ht="10.5" customHeight="1" x14ac:dyDescent="0.25">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spans="1:26" ht="10.5" customHeight="1" x14ac:dyDescent="0.25">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spans="1:26" ht="10.5" customHeight="1" x14ac:dyDescent="0.25">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spans="1:26" ht="10.5" customHeight="1" x14ac:dyDescent="0.25">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spans="1:26" ht="10.5" customHeight="1" x14ac:dyDescent="0.2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spans="1:26" ht="10.5" customHeight="1" x14ac:dyDescent="0.25">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spans="1:26" ht="10.5" customHeight="1" x14ac:dyDescent="0.25">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spans="1:26" ht="10.5" customHeight="1" x14ac:dyDescent="0.25">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spans="1:26" ht="10.5" customHeight="1" x14ac:dyDescent="0.25">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spans="1:26" ht="10.5" customHeight="1" x14ac:dyDescent="0.25">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spans="1:26" ht="10.5" customHeight="1" x14ac:dyDescent="0.25">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spans="1:26" ht="10.5" customHeight="1" x14ac:dyDescent="0.25">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spans="1:26" ht="10.5" customHeight="1" x14ac:dyDescent="0.25">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spans="1:26" ht="10.5" customHeight="1" x14ac:dyDescent="0.25">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spans="1:26" ht="10.5" customHeight="1" x14ac:dyDescent="0.2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spans="1:26" ht="10.5" customHeight="1" x14ac:dyDescent="0.25">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spans="1:26" ht="10.5" customHeight="1" x14ac:dyDescent="0.25">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spans="1:26" ht="10.5" customHeight="1" x14ac:dyDescent="0.25">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spans="1:26" ht="10.5" customHeight="1" x14ac:dyDescent="0.25">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spans="1:26" ht="10.5" customHeight="1" x14ac:dyDescent="0.25">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spans="1:26" ht="10.5" customHeight="1" x14ac:dyDescent="0.25">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spans="1:26" ht="10.5" customHeight="1" x14ac:dyDescent="0.25">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spans="1:26" ht="10.5" customHeight="1" x14ac:dyDescent="0.25">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spans="1:26" ht="10.5" customHeight="1" x14ac:dyDescent="0.25">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spans="1:26" ht="10.5" customHeight="1" x14ac:dyDescent="0.2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spans="1:26" ht="10.5" customHeight="1" x14ac:dyDescent="0.25">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spans="1:26" ht="10.5" customHeight="1" x14ac:dyDescent="0.25">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spans="1:26" ht="10.5" customHeight="1" x14ac:dyDescent="0.25">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spans="1:26" ht="10.5" customHeight="1" x14ac:dyDescent="0.25">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spans="1:26" ht="10.5" customHeight="1" x14ac:dyDescent="0.25">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spans="1:26" ht="10.5" customHeight="1" x14ac:dyDescent="0.25">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spans="1:26" ht="10.5" customHeight="1" x14ac:dyDescent="0.25">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spans="1:26" ht="10.5" customHeight="1" x14ac:dyDescent="0.25">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spans="1:26" ht="10.5" customHeight="1" x14ac:dyDescent="0.25">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spans="1:26" ht="10.5" customHeight="1" x14ac:dyDescent="0.2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spans="1:26" ht="10.5" customHeight="1" x14ac:dyDescent="0.25">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spans="1:26" ht="10.5" customHeight="1" x14ac:dyDescent="0.25">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spans="1:26" ht="10.5" customHeight="1" x14ac:dyDescent="0.25">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spans="1:26" ht="10.5" customHeight="1" x14ac:dyDescent="0.25">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spans="1:26" ht="10.5" customHeight="1" x14ac:dyDescent="0.25">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spans="1:26" ht="10.5" customHeight="1" x14ac:dyDescent="0.25">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spans="1:26" ht="10.5" customHeight="1" x14ac:dyDescent="0.25">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spans="1:26" ht="10.5" customHeight="1" x14ac:dyDescent="0.25">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spans="1:26" ht="10.5" customHeight="1" x14ac:dyDescent="0.25">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spans="1:26" ht="10.5" customHeight="1" x14ac:dyDescent="0.2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spans="1:26" ht="10.5" customHeight="1" x14ac:dyDescent="0.25">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spans="1:26" ht="10.5" customHeight="1" x14ac:dyDescent="0.25">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spans="1:26" ht="10.5" customHeight="1" x14ac:dyDescent="0.25">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spans="1:26" ht="10.5" customHeight="1" x14ac:dyDescent="0.25">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spans="1:26" ht="10.5" customHeight="1" x14ac:dyDescent="0.25">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spans="1:26" ht="10.5" customHeight="1" x14ac:dyDescent="0.25">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spans="1:26" ht="10.5" customHeight="1" x14ac:dyDescent="0.25">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spans="1:26" ht="10.5" customHeight="1" x14ac:dyDescent="0.25">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spans="1:26" ht="10.5" customHeight="1" x14ac:dyDescent="0.25">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spans="1:26" ht="10.5" customHeight="1" x14ac:dyDescent="0.2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spans="1:26" ht="10.5" customHeight="1" x14ac:dyDescent="0.25">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spans="1:26" ht="10.5" customHeight="1" x14ac:dyDescent="0.25">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spans="1:26" ht="10.5" customHeight="1" x14ac:dyDescent="0.25">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spans="1:26" ht="10.5" customHeight="1" x14ac:dyDescent="0.25">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spans="1:26" ht="10.5" customHeight="1" x14ac:dyDescent="0.25">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spans="1:26" ht="10.5" customHeight="1" x14ac:dyDescent="0.25">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spans="1:26" ht="10.5" customHeight="1" x14ac:dyDescent="0.25">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spans="1:26" ht="10.5" customHeight="1" x14ac:dyDescent="0.25">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spans="1:26" ht="10.5" customHeight="1" x14ac:dyDescent="0.25">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spans="1:26" ht="10.5" customHeight="1" x14ac:dyDescent="0.2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spans="1:26" ht="10.5" customHeight="1" x14ac:dyDescent="0.25">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spans="1:26" ht="10.5" customHeight="1" x14ac:dyDescent="0.25">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spans="1:26" ht="10.5" customHeight="1" x14ac:dyDescent="0.25">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spans="1:26" ht="10.5" customHeight="1" x14ac:dyDescent="0.25">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spans="1:26" ht="10.5" customHeight="1" x14ac:dyDescent="0.25">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spans="1:26" ht="10.5" customHeight="1" x14ac:dyDescent="0.25">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spans="1:26" ht="10.5" customHeight="1" x14ac:dyDescent="0.25">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spans="1:26" ht="10.5" customHeight="1" x14ac:dyDescent="0.25">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spans="1:26" ht="10.5" customHeight="1" x14ac:dyDescent="0.25">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spans="1:26" ht="10.5" customHeight="1" x14ac:dyDescent="0.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spans="1:26" ht="10.5" customHeight="1" x14ac:dyDescent="0.25">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spans="1:26" ht="10.5" customHeight="1" x14ac:dyDescent="0.25">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spans="1:26" ht="10.5" customHeight="1" x14ac:dyDescent="0.25">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spans="1:26" ht="10.5" customHeight="1" x14ac:dyDescent="0.25">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spans="1:26" ht="10.5" customHeight="1" x14ac:dyDescent="0.25">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spans="1:26" ht="10.5" customHeight="1" x14ac:dyDescent="0.25">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spans="1:26" ht="10.5" customHeight="1" x14ac:dyDescent="0.25">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spans="1:26" ht="10.5" customHeight="1" x14ac:dyDescent="0.25">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spans="1:26" ht="10.5" customHeight="1" x14ac:dyDescent="0.25">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spans="1:26" ht="10.5" customHeight="1" x14ac:dyDescent="0.2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spans="1:26" ht="10.5" customHeight="1" x14ac:dyDescent="0.25">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spans="1:26" ht="10.5" customHeight="1" x14ac:dyDescent="0.25">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spans="1:26" ht="10.5" customHeight="1" x14ac:dyDescent="0.25">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spans="1:26" ht="10.5" customHeight="1" x14ac:dyDescent="0.25">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spans="1:26" ht="10.5" customHeight="1" x14ac:dyDescent="0.25">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spans="1:26" ht="10.5" customHeight="1" x14ac:dyDescent="0.25">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spans="1:26" ht="10.5" customHeight="1" x14ac:dyDescent="0.25">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spans="1:26" ht="10.5" customHeight="1" x14ac:dyDescent="0.25">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spans="1:26" ht="10.5" customHeight="1" x14ac:dyDescent="0.25">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spans="1:26" ht="10.5" customHeight="1" x14ac:dyDescent="0.2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spans="1:26" ht="10.5" customHeight="1" x14ac:dyDescent="0.25">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spans="1:26" ht="10.5" customHeight="1" x14ac:dyDescent="0.25">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spans="1:26" ht="10.5" customHeight="1" x14ac:dyDescent="0.25">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spans="1:26" ht="10.5" customHeight="1" x14ac:dyDescent="0.25">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spans="1:26" ht="10.5" customHeight="1" x14ac:dyDescent="0.25">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spans="1:26" ht="10.5" customHeight="1" x14ac:dyDescent="0.25">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spans="1:26" ht="10.5" customHeight="1" x14ac:dyDescent="0.25">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spans="1:26" ht="10.5" customHeight="1" x14ac:dyDescent="0.25">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spans="1:26" ht="10.5" customHeight="1" x14ac:dyDescent="0.25">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spans="1:26" ht="10.5" customHeight="1" x14ac:dyDescent="0.2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spans="1:26" ht="10.5" customHeight="1" x14ac:dyDescent="0.25">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spans="1:26" ht="10.5" customHeight="1" x14ac:dyDescent="0.25">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spans="1:26" ht="10.5" customHeight="1" x14ac:dyDescent="0.25">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spans="1:26" ht="10.5" customHeight="1" x14ac:dyDescent="0.25">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spans="1:26" ht="10.5" customHeight="1" x14ac:dyDescent="0.25">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spans="1:26" ht="10.5" customHeight="1" x14ac:dyDescent="0.25">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spans="1:26" ht="10.5" customHeight="1" x14ac:dyDescent="0.25">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spans="1:26" ht="10.5" customHeight="1" x14ac:dyDescent="0.25">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spans="1:26" ht="10.5" customHeight="1" x14ac:dyDescent="0.25">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spans="1:26" ht="10.5" customHeight="1" x14ac:dyDescent="0.2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spans="1:26" ht="10.5" customHeight="1" x14ac:dyDescent="0.25">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spans="1:26" ht="10.5" customHeight="1" x14ac:dyDescent="0.25">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spans="1:26" ht="10.5" customHeight="1" x14ac:dyDescent="0.25">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spans="1:26" ht="10.5" customHeight="1" x14ac:dyDescent="0.25">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spans="1:26" ht="10.5" customHeight="1" x14ac:dyDescent="0.25">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spans="1:26" ht="10.5" customHeight="1" x14ac:dyDescent="0.25">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spans="1:26" ht="10.5" customHeight="1" x14ac:dyDescent="0.25">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spans="1:26" ht="10.5" customHeight="1" x14ac:dyDescent="0.25">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spans="1:26" ht="10.5" customHeight="1" x14ac:dyDescent="0.25">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spans="1:26" ht="10.5" customHeight="1" x14ac:dyDescent="0.2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spans="1:26" ht="10.5" customHeight="1" x14ac:dyDescent="0.25">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spans="1:26" ht="10.5" customHeight="1" x14ac:dyDescent="0.25">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spans="1:26" ht="10.5" customHeight="1" x14ac:dyDescent="0.25">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spans="1:26" ht="10.5" customHeight="1" x14ac:dyDescent="0.25">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spans="1:26" ht="10.5" customHeight="1" x14ac:dyDescent="0.25">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spans="1:26" ht="10.5" customHeight="1" x14ac:dyDescent="0.25">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spans="1:26" ht="10.5" customHeight="1" x14ac:dyDescent="0.25">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spans="1:26" ht="10.5" customHeight="1" x14ac:dyDescent="0.25">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spans="1:26" ht="10.5" customHeight="1" x14ac:dyDescent="0.25">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spans="1:26" ht="10.5" customHeight="1" x14ac:dyDescent="0.2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spans="1:26" ht="10.5" customHeight="1" x14ac:dyDescent="0.25">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spans="1:26" ht="10.5" customHeight="1" x14ac:dyDescent="0.25">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spans="1:26" ht="10.5" customHeight="1" x14ac:dyDescent="0.25">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spans="1:26" ht="10.5" customHeight="1" x14ac:dyDescent="0.25">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spans="1:26" ht="10.5" customHeight="1" x14ac:dyDescent="0.25">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spans="1:26" ht="10.5" customHeight="1" x14ac:dyDescent="0.25">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spans="1:26" ht="10.5" customHeight="1" x14ac:dyDescent="0.25">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spans="1:26" ht="10.5" customHeight="1" x14ac:dyDescent="0.25">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spans="1:26" ht="10.5" customHeight="1" x14ac:dyDescent="0.25">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spans="1:26" ht="10.5" customHeight="1" x14ac:dyDescent="0.2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spans="1:26" ht="10.5" customHeight="1" x14ac:dyDescent="0.25">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spans="1:26" ht="10.5" customHeight="1" x14ac:dyDescent="0.25">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spans="1:26" ht="10.5" customHeight="1" x14ac:dyDescent="0.25">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spans="1:26" ht="10.5" customHeight="1" x14ac:dyDescent="0.25">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spans="1:26" ht="10.5" customHeight="1" x14ac:dyDescent="0.25">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spans="1:26" ht="10.5" customHeight="1" x14ac:dyDescent="0.25">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spans="1:26" ht="10.5" customHeight="1" x14ac:dyDescent="0.25">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spans="1:26" ht="10.5" customHeight="1" x14ac:dyDescent="0.25">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spans="1:26" ht="10.5" customHeight="1" x14ac:dyDescent="0.25">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spans="1:26" ht="10.5" customHeight="1" x14ac:dyDescent="0.2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spans="1:26" ht="10.5" customHeight="1" x14ac:dyDescent="0.25">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spans="1:26" ht="10.5" customHeight="1" x14ac:dyDescent="0.25">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spans="1:26" ht="10.5" customHeight="1" x14ac:dyDescent="0.25">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spans="1:26" ht="10.5" customHeight="1" x14ac:dyDescent="0.25">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spans="1:26" ht="10.5" customHeight="1" x14ac:dyDescent="0.25">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spans="1:26" ht="10.5" customHeight="1" x14ac:dyDescent="0.25">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spans="1:26" ht="10.5" customHeight="1" x14ac:dyDescent="0.25">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spans="1:26" ht="10.5" customHeight="1" x14ac:dyDescent="0.25">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spans="1:26" ht="10.5" customHeight="1" x14ac:dyDescent="0.25">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spans="1:26" ht="10.5" customHeight="1" x14ac:dyDescent="0.2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spans="1:26" ht="10.5" customHeight="1" x14ac:dyDescent="0.25">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spans="1:26" ht="10.5" customHeight="1" x14ac:dyDescent="0.25">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spans="1:26" ht="10.5" customHeight="1" x14ac:dyDescent="0.25">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spans="1:26" ht="10.5" customHeight="1" x14ac:dyDescent="0.25">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spans="1:26" ht="10.5" customHeight="1" x14ac:dyDescent="0.25">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spans="1:26" ht="10.5" customHeight="1" x14ac:dyDescent="0.25">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spans="1:26" ht="10.5" customHeight="1" x14ac:dyDescent="0.25">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spans="1:26" ht="10.5" customHeight="1" x14ac:dyDescent="0.25">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spans="1:26" ht="10.5" customHeight="1" x14ac:dyDescent="0.25">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spans="1:26" ht="10.5" customHeight="1" x14ac:dyDescent="0.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spans="1:26" ht="10.5" customHeight="1" x14ac:dyDescent="0.25">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spans="1:26" ht="10.5" customHeight="1" x14ac:dyDescent="0.25">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spans="1:26" ht="10.5" customHeight="1" x14ac:dyDescent="0.25">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spans="1:26" ht="10.5" customHeight="1" x14ac:dyDescent="0.25">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spans="1:26" ht="10.5" customHeight="1" x14ac:dyDescent="0.25">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spans="1:26" ht="10.5" customHeight="1" x14ac:dyDescent="0.25">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spans="1:26" ht="10.5" customHeight="1" x14ac:dyDescent="0.25">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spans="1:26" ht="10.5" customHeight="1" x14ac:dyDescent="0.25">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spans="1:26" ht="10.5" customHeight="1" x14ac:dyDescent="0.25">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spans="1:26" ht="10.5" customHeight="1" x14ac:dyDescent="0.2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spans="1:26" ht="10.5" customHeight="1" x14ac:dyDescent="0.25">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spans="1:26" ht="10.5" customHeight="1" x14ac:dyDescent="0.25">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spans="1:26" ht="10.5" customHeight="1" x14ac:dyDescent="0.25">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spans="1:26" ht="10.5" customHeight="1" x14ac:dyDescent="0.25">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spans="1:26" ht="10.5" customHeight="1" x14ac:dyDescent="0.25">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spans="1:26" ht="10.5" customHeight="1" x14ac:dyDescent="0.25">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spans="1:26" ht="10.5" customHeight="1" x14ac:dyDescent="0.25">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spans="1:26" ht="10.5" customHeight="1" x14ac:dyDescent="0.25">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spans="1:26" ht="10.5" customHeight="1" x14ac:dyDescent="0.25">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spans="1:26" ht="10.5" customHeight="1" x14ac:dyDescent="0.2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spans="1:26" ht="10.5" customHeight="1" x14ac:dyDescent="0.25">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spans="1:26" ht="10.5" customHeight="1" x14ac:dyDescent="0.25">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spans="1:26" ht="10.5" customHeight="1" x14ac:dyDescent="0.25">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spans="1:26" ht="10.5" customHeight="1" x14ac:dyDescent="0.25">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spans="1:26" ht="10.5" customHeight="1" x14ac:dyDescent="0.25">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spans="1:26" ht="10.5" customHeight="1" x14ac:dyDescent="0.25">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spans="1:26" ht="10.5" customHeight="1" x14ac:dyDescent="0.25">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spans="1:26" ht="10.5" customHeight="1" x14ac:dyDescent="0.25">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spans="1:26" ht="10.5" customHeight="1" x14ac:dyDescent="0.25">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spans="1:26" ht="10.5" customHeight="1" x14ac:dyDescent="0.2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spans="1:26" ht="10.5" customHeight="1" x14ac:dyDescent="0.25">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spans="1:26" ht="10.5" customHeight="1" x14ac:dyDescent="0.25">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spans="1:26" ht="10.5" customHeight="1" x14ac:dyDescent="0.25">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spans="1:26" ht="10.5" customHeight="1" x14ac:dyDescent="0.25">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spans="1:26" ht="10.5" customHeight="1" x14ac:dyDescent="0.25">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spans="1:26" ht="10.5" customHeight="1" x14ac:dyDescent="0.25">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spans="1:26" ht="10.5" customHeight="1" x14ac:dyDescent="0.25">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spans="1:26" ht="10.5" customHeight="1" x14ac:dyDescent="0.25">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spans="1:26" ht="10.5" customHeight="1" x14ac:dyDescent="0.25">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spans="1:26" ht="10.5" customHeight="1" x14ac:dyDescent="0.2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spans="1:26" ht="10.5" customHeight="1" x14ac:dyDescent="0.25">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spans="1:26" ht="10.5" customHeight="1" x14ac:dyDescent="0.25">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spans="1:26" ht="10.5" customHeight="1" x14ac:dyDescent="0.25">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spans="1:26" ht="10.5" customHeight="1" x14ac:dyDescent="0.25">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spans="1:26" ht="10.5" customHeight="1" x14ac:dyDescent="0.25">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spans="1:26" ht="10.5" customHeight="1" x14ac:dyDescent="0.25">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spans="1:26" ht="10.5" customHeight="1" x14ac:dyDescent="0.25">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spans="1:26" ht="10.5" customHeight="1" x14ac:dyDescent="0.25">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spans="1:26" ht="10.5" customHeight="1" x14ac:dyDescent="0.25">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spans="1:26" ht="10.5" customHeight="1" x14ac:dyDescent="0.2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spans="1:26" ht="10.5" customHeight="1" x14ac:dyDescent="0.25">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spans="1:26" ht="10.5" customHeight="1" x14ac:dyDescent="0.25">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spans="1:26" ht="10.5" customHeight="1" x14ac:dyDescent="0.25">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spans="1:26" ht="10.5" customHeight="1" x14ac:dyDescent="0.25">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spans="1:26" ht="10.5" customHeight="1" x14ac:dyDescent="0.25">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spans="1:26" ht="10.5" customHeight="1" x14ac:dyDescent="0.25">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spans="1:26" ht="10.5" customHeight="1" x14ac:dyDescent="0.25">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spans="1:26" ht="10.5" customHeight="1" x14ac:dyDescent="0.25">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spans="1:26" ht="10.5" customHeight="1" x14ac:dyDescent="0.25">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spans="1:26" ht="10.5" customHeight="1" x14ac:dyDescent="0.2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spans="1:26" ht="10.5" customHeight="1" x14ac:dyDescent="0.25">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spans="1:26" ht="10.5" customHeight="1" x14ac:dyDescent="0.25">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spans="1:26" ht="10.5" customHeight="1" x14ac:dyDescent="0.25">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spans="1:26" ht="10.5" customHeight="1" x14ac:dyDescent="0.25">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spans="1:26" ht="10.5" customHeight="1" x14ac:dyDescent="0.25">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spans="1:26" ht="10.5" customHeight="1" x14ac:dyDescent="0.25">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spans="1:26" ht="10.5" customHeight="1" x14ac:dyDescent="0.25">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spans="1:26" ht="10.5" customHeight="1" x14ac:dyDescent="0.25">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spans="1:26" ht="10.5" customHeight="1" x14ac:dyDescent="0.25">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spans="1:26" ht="10.5" customHeight="1" x14ac:dyDescent="0.2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spans="1:26" ht="10.5" customHeight="1" x14ac:dyDescent="0.25">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spans="1:26" ht="10.5" customHeight="1" x14ac:dyDescent="0.25">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spans="1:26" ht="10.5" customHeight="1" x14ac:dyDescent="0.25">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spans="1:26" ht="10.5" customHeight="1" x14ac:dyDescent="0.25">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spans="1:26" ht="10.5" customHeight="1" x14ac:dyDescent="0.25">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Sample</vt:lpstr>
      <vt:lpstr>SampleType</vt:lpstr>
      <vt:lpstr>SamplingType</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Moorche</cp:lastModifiedBy>
  <dcterms:modified xsi:type="dcterms:W3CDTF">2026-02-12T11:16:58Z</dcterms:modified>
</cp:coreProperties>
</file>