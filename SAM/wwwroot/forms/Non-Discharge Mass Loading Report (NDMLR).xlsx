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age 1" sheetId="1" r:id="rId5"/>
    <sheet state="visible" name="Certification Page" sheetId="2" r:id="rId6"/>
    <sheet state="visible" name="Formulas" sheetId="3" r:id="rId7"/>
    <sheet state="hidden" name="Dropdown Menu" sheetId="4" r:id="rId8"/>
  </sheets>
  <definedNames>
    <definedName name="LOAD">'Dropdown Menu'!$D$1:$D$4</definedName>
    <definedName name="County">'Dropdown Menu'!$B$1:$B$101</definedName>
    <definedName name="Month">'Dropdown Menu'!$A$1:$A$13</definedName>
    <definedName name="Year">'Dropdown Menu'!$C$1:$C$21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tc={1b127ccf-3d07-4205-b94d-2312dda8e32a}</author>
    <author>tc={2093824f-5569-47af-96aa-e05b48509617}</author>
    <author>tc={28179b7c-e3ab-487b-babd-db8c718ed71e}</author>
    <author>tc={2b3cbd97-38e0-49f4-a1e2-7544a6fffc9a}</author>
    <author>tc={3cf327e0-0eba-4b48-a0ec-fa69219c289a}</author>
    <author>tc={4510617d-5e9f-4008-ab3b-367feb3acae5}</author>
    <author>tc={62d2ebfb-b1e2-458d-b516-1bc02d25eb9b}</author>
    <author>tc={84bca851-3709-415f-b9e6-52512768c7e4}</author>
    <author>tc={8b42d72d-b7f6-453b-9f8a-da43943bc2dc}</author>
    <author>tc={ac13f4e8-cc9d-4c1b-8c03-45965af0dae0}</author>
  </authors>
  <commentList>
    <comment authorId="0" xr:uid="{1b127ccf-3d07-4205-b94d-2312dda8e32a}" ref="T7">
      <text>
        <t xml:space="preserve">[Threaded comment]
 Your version of Excel allows you to read this threaded comment; however, any edits to it will get removed if the file is opened in a newer version of Excel. Learn more: https://go.microsoft.com/fwlink/?linkid=870924
Comment:
	Average Concentration is the average concentration reported on the NDMR for the selected parameter for each particular month.
</t>
      </text>
    </comment>
    <comment authorId="1" xr:uid="{2093824f-5569-47af-96aa-e05b48509617}" ref="G7">
      <text>
        <t xml:space="preserve">[Threaded comment]
 Your version of Excel allows you to read this threaded comment; however, any edits to it will get removed if the file is opened in a newer version of Excel. Learn more: https://go.microsoft.com/fwlink/?linkid=870924
Comment:
	Volume Applied is the volume of water reported on the NDAR-1 for this field for each particular month.
</t>
      </text>
    </comment>
    <comment authorId="2" xr:uid="{28179b7c-e3ab-487b-babd-db8c718ed71e}" ref="H7">
      <text>
        <t xml:space="preserve">[Threaded comment]
 Your version of Excel allows you to read this threaded comment; however, any edits to it will get removed if the file is opened in a newer version of Excel. Learn more: https://go.microsoft.com/fwlink/?linkid=870924
Comment:
	Average Concentration is the average concentration reported on the NDMR for the selected parameter for each particular month.
</t>
      </text>
    </comment>
    <comment authorId="3" xr:uid="{2b3cbd97-38e0-49f4-a1e2-7544a6fffc9a}" ref="P7">
      <text>
        <t xml:space="preserve">[Threaded comment]
 Your version of Excel allows you to read this threaded comment; however, any edits to it will get removed if the file is opened in a newer version of Excel. Learn more: https://go.microsoft.com/fwlink/?linkid=870924
Comment:
	Average Concentration is the average concentration reported on the NDMR for the selected parameter for each particular month.
</t>
      </text>
    </comment>
    <comment authorId="4" xr:uid="{3cf327e0-0eba-4b48-a0ec-fa69219c289a}" ref="D7">
      <text>
        <t xml:space="preserve">[Threaded comment]
 Your version of Excel allows you to read this threaded comment; however, any edits to it will get removed if the file is opened in a newer version of Excel. Learn more: https://go.microsoft.com/fwlink/?linkid=870924
Comment:
	Average Concentration is the average concentration reported on the NDMR for the selected parameter for each particular month.
</t>
      </text>
    </comment>
    <comment authorId="5" xr:uid="{4510617d-5e9f-4008-ab3b-367feb3acae5}" ref="K7">
      <text>
        <t xml:space="preserve">[Threaded comment]
 Your version of Excel allows you to read this threaded comment; however, any edits to it will get removed if the file is opened in a newer version of Excel. Learn more: https://go.microsoft.com/fwlink/?linkid=870924
Comment:
	Volume Applied is the volume of water reported on the NDAR-1 for this field for each particular month.
</t>
      </text>
    </comment>
    <comment authorId="6" xr:uid="{62d2ebfb-b1e2-458d-b516-1bc02d25eb9b}" ref="L7">
      <text>
        <t xml:space="preserve">[Threaded comment]
 Your version of Excel allows you to read this threaded comment; however, any edits to it will get removed if the file is opened in a newer version of Excel. Learn more: https://go.microsoft.com/fwlink/?linkid=870924
Comment:
	Average Concentration is the average concentration reported on the NDMR for the selected parameter for each particular month.
</t>
      </text>
    </comment>
    <comment authorId="7" xr:uid="{84bca851-3709-415f-b9e6-52512768c7e4}" ref="C7">
      <text>
        <t xml:space="preserve">[Threaded comment]
 Your version of Excel allows you to read this threaded comment; however, any edits to it will get removed if the file is opened in a newer version of Excel. Learn more: https://go.microsoft.com/fwlink/?linkid=870924
Comment:
	Volume Applied is the volume of water reported on the NDAR-1 for this field for each particular month.
</t>
      </text>
    </comment>
    <comment authorId="8" xr:uid="{8b42d72d-b7f6-453b-9f8a-da43943bc2dc}" ref="O7">
      <text>
        <t xml:space="preserve">[Threaded comment]
 Your version of Excel allows you to read this threaded comment; however, any edits to it will get removed if the file is opened in a newer version of Excel. Learn more: https://go.microsoft.com/fwlink/?linkid=870924
Comment:
	Volume Applied is the volume of water reported on the NDAR-1 for this field for each particular month.
</t>
      </text>
    </comment>
    <comment authorId="9" xr:uid="{ac13f4e8-cc9d-4c1b-8c03-45965af0dae0}" ref="S7">
      <text>
        <t xml:space="preserve">[Threaded comment]
 Your version of Excel allows you to read this threaded comment; however, any edits to it will get removed if the file is opened in a newer version of Excel. Learn more: https://go.microsoft.com/fwlink/?linkid=870924
Comment:
	Volume Applied is the volume of water reported on the NDAR-1 for this field for each particular month.
</t>
      </text>
    </comment>
  </commentList>
</comments>
</file>

<file path=xl/sharedStrings.xml><?xml version="1.0" encoding="utf-8"?>
<sst xmlns="http://schemas.openxmlformats.org/spreadsheetml/2006/main" count="211" uniqueCount="167">
  <si>
    <t xml:space="preserve"> Permit No.:</t>
  </si>
  <si>
    <t>Facility Name:</t>
  </si>
  <si>
    <t>County:</t>
  </si>
  <si>
    <t>Month:</t>
  </si>
  <si>
    <t>Year:</t>
  </si>
  <si>
    <t>Field Name:</t>
  </si>
  <si>
    <t>Area (acres):</t>
  </si>
  <si>
    <t>Cover Crop:</t>
  </si>
  <si>
    <t>Load Type:</t>
  </si>
  <si>
    <t>Field Loaded?</t>
  </si>
  <si>
    <t>Date</t>
  </si>
  <si>
    <t>Volume Applied</t>
  </si>
  <si>
    <t>Month</t>
  </si>
  <si>
    <t>gal</t>
  </si>
  <si>
    <t>mg/L</t>
  </si>
  <si>
    <t>lbs/ac</t>
  </si>
  <si>
    <t>Did the mass loading rates exceed the limits in Attachment B of your permit?</t>
  </si>
  <si>
    <t>If the facility is non-compliant, please explain in the space below the reason(s) the facility was not in compliance.  Provide in your explanation the date(s) of the non-compliance and describe the corrective action(s) taken. Attach additional sheets if necessary.</t>
  </si>
  <si>
    <t>Operator in Responsible Charge (ORC) Certification</t>
  </si>
  <si>
    <t>Permittee Certification</t>
  </si>
  <si>
    <t xml:space="preserve"> ORC:</t>
  </si>
  <si>
    <t xml:space="preserve"> Permittee:</t>
  </si>
  <si>
    <t xml:space="preserve"> Certification Number:</t>
  </si>
  <si>
    <t xml:space="preserve"> Signing Official:</t>
  </si>
  <si>
    <t xml:space="preserve"> Grade:</t>
  </si>
  <si>
    <t>Phone Number:</t>
  </si>
  <si>
    <t xml:space="preserve"> Signing Official's Title:</t>
  </si>
  <si>
    <t xml:space="preserve"> Has the ORC changed since the previous NDMLR?</t>
  </si>
  <si>
    <t xml:space="preserve"> Phone No.:</t>
  </si>
  <si>
    <t>Permit Exp.:</t>
  </si>
  <si>
    <t>Signature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</si>
  <si>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</si>
  <si>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</si>
  <si>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Mail Original and Two Copies to:</t>
  </si>
  <si>
    <t>Division of Water Resources</t>
  </si>
  <si>
    <t>Information Processing Unit</t>
  </si>
  <si>
    <t>1617 Mail Service Center</t>
  </si>
  <si>
    <t>Raleigh, North Carolina 27699-1617</t>
  </si>
  <si>
    <t>Formulas</t>
  </si>
  <si>
    <t>Weather Codes</t>
  </si>
  <si>
    <t>Clear</t>
  </si>
  <si>
    <t>C</t>
  </si>
  <si>
    <t>Cloudy</t>
  </si>
  <si>
    <t>CL</t>
  </si>
  <si>
    <t>Partly Cloudy</t>
  </si>
  <si>
    <t>PC</t>
  </si>
  <si>
    <t>Rain</t>
  </si>
  <si>
    <t>R</t>
  </si>
  <si>
    <t>Sleet</t>
  </si>
  <si>
    <t>SL</t>
  </si>
  <si>
    <t>Snow</t>
  </si>
  <si>
    <t>SN</t>
  </si>
  <si>
    <t>January</t>
  </si>
  <si>
    <t xml:space="preserve">Alamance  </t>
  </si>
  <si>
    <r>
      <rPr>
        <rFont val="Times New Roman"/>
        <color theme="1"/>
        <sz val="8.0"/>
      </rPr>
      <t>BOD</t>
    </r>
    <r>
      <rPr>
        <rFont val="Times New Roman"/>
        <color theme="1"/>
        <sz val="8.0"/>
        <vertAlign val="subscript"/>
      </rPr>
      <t>5</t>
    </r>
  </si>
  <si>
    <t>February</t>
  </si>
  <si>
    <t xml:space="preserve">Alexander  </t>
  </si>
  <si>
    <t>PAN</t>
  </si>
  <si>
    <t>March</t>
  </si>
  <si>
    <t xml:space="preserve">Alleghany  </t>
  </si>
  <si>
    <t>TDS</t>
  </si>
  <si>
    <t>April</t>
  </si>
  <si>
    <t xml:space="preserve">Anson  </t>
  </si>
  <si>
    <t>May</t>
  </si>
  <si>
    <t xml:space="preserve">Ashe  </t>
  </si>
  <si>
    <t>June</t>
  </si>
  <si>
    <t xml:space="preserve">Avery  </t>
  </si>
  <si>
    <t>July</t>
  </si>
  <si>
    <t xml:space="preserve">Beaufort  </t>
  </si>
  <si>
    <t>August</t>
  </si>
  <si>
    <t xml:space="preserve">Bertie  </t>
  </si>
  <si>
    <t>September</t>
  </si>
  <si>
    <t xml:space="preserve">Bladen  </t>
  </si>
  <si>
    <t>October</t>
  </si>
  <si>
    <t xml:space="preserve">Brunswick  </t>
  </si>
  <si>
    <t>November</t>
  </si>
  <si>
    <t xml:space="preserve">Buncombe  </t>
  </si>
  <si>
    <t>December</t>
  </si>
  <si>
    <t xml:space="preserve">Burke  </t>
  </si>
  <si>
    <t xml:space="preserve">Cabarrus  </t>
  </si>
  <si>
    <t xml:space="preserve">Caldwell  </t>
  </si>
  <si>
    <t xml:space="preserve">Camden  </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</si>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</sst>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0"/>
    <numFmt numFmtId="165" formatCode="0.0"/>
    <numFmt numFmtId="166" formatCode="m/d/yy"/>
  </numFmts>
  <fonts count="16">
    <font>
      <sz val="10.0"/>
      <color rgb="FF000000"/>
      <name val="Arial"/>
      <scheme val="minor"/>
    </font>
    <font>
      <sz val="10.0"/>
      <color theme="1"/>
      <name val="Arial"/>
    </font>
    <font>
      <b/>
      <sz val="10.0"/>
      <color theme="1"/>
      <name val="Arial"/>
    </font>
    <font>
      <sz val="12.0"/>
      <color theme="1"/>
      <name val="Arial"/>
    </font>
    <font/>
    <font>
      <b/>
      <sz val="16.0"/>
      <color theme="1"/>
      <name val="Arial"/>
    </font>
    <font>
      <sz val="16.0"/>
      <color theme="1"/>
      <name val="Arial"/>
    </font>
    <font>
      <b/>
      <sz val="14.0"/>
      <color theme="1"/>
      <name val="Arial"/>
    </font>
    <font>
      <sz val="8.0"/>
      <color theme="1"/>
      <name val="Arial"/>
    </font>
    <font>
      <b/>
      <sz val="11.0"/>
      <color theme="1"/>
      <name val="Arial"/>
    </font>
    <font>
      <b/>
      <sz val="12.0"/>
      <color theme="1"/>
      <name val="Trebuchet MS"/>
    </font>
    <font>
      <sz val="8.0"/>
      <color theme="1"/>
      <name val="Trebuchet MS"/>
    </font>
    <font>
      <sz val="11.0"/>
      <color theme="1"/>
      <name val="Calibri"/>
    </font>
    <font>
      <b/>
      <sz val="10.0"/>
      <color theme="1"/>
      <name val="Trebuchet MS"/>
    </font>
    <font>
      <sz val="10.0"/>
      <color theme="1"/>
      <name val="Trebuchet MS"/>
    </font>
    <font>
      <sz val="8.0"/>
      <color theme="1"/>
      <name val="Times New Roman"/>
    </font>
  </fonts>
  <fills count="4">
    <fill>
      <patternFill patternType="none"/>
    </fill>
    <fill>
      <patternFill patternType="lightGray"/>
    </fill>
    <fill>
      <patternFill patternType="solid">
        <fgColor theme="0"/>
        <bgColor theme="0"/>
      </patternFill>
    </fill>
    <fill>
      <patternFill patternType="solid">
        <fgColor rgb="FFBFBFBF"/>
        <bgColor rgb="FFBFBFBF"/>
      </patternFill>
    </fill>
  </fills>
  <borders count="116">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top/>
      <bottom/>
    </border>
    <border>
      <left style="double">
        <color rgb="FF000000"/>
      </lef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right style="double">
        <color rgb="FF000000"/>
      </right>
      <top style="medium">
        <color rgb="FF000000"/>
      </top>
      <bottom style="thin">
        <color rgb="FF000000"/>
      </bottom>
    </border>
    <border>
      <left style="double">
        <color rgb="FF000000"/>
      </left>
      <top/>
      <bottom style="thin">
        <color rgb="FF000000"/>
      </bottom>
    </border>
    <border>
      <right style="thin">
        <color rgb="FF000000"/>
      </right>
      <top/>
      <bottom style="thin">
        <color rgb="FF000000"/>
      </bottom>
    </border>
    <border>
      <left/>
      <top/>
      <bottom style="thin">
        <color rgb="FF000000"/>
      </bottom>
    </border>
    <border>
      <right style="double">
        <color rgb="FF000000"/>
      </right>
      <top/>
      <bottom style="thin">
        <color rgb="FF000000"/>
      </bottom>
    </border>
    <border>
      <right style="medium">
        <color rgb="FF000000"/>
      </right>
      <top/>
      <bottom style="thin">
        <color rgb="FF000000"/>
      </bottom>
    </border>
    <border>
      <left style="double">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double">
        <color rgb="FF000000"/>
      </right>
      <top style="thin">
        <color rgb="FF000000"/>
      </top>
      <bottom style="thin">
        <color rgb="FF000000"/>
      </bottom>
    </border>
    <border>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bottom/>
    </border>
    <border>
      <left/>
      <right/>
      <top style="thin">
        <color rgb="FF000000"/>
      </top>
      <bottom style="thin">
        <color rgb="FF000000"/>
      </bottom>
    </border>
    <border>
      <left/>
      <right style="double">
        <color rgb="FF000000"/>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style="double">
        <color rgb="FF000000"/>
      </right>
      <top style="thin">
        <color rgb="FF000000"/>
      </top>
      <bottom style="thin">
        <color rgb="FF000000"/>
      </bottom>
    </border>
    <border>
      <left style="double">
        <color rgb="FF00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double">
        <color rgb="FF000000"/>
      </right>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double">
        <color rgb="FF000000"/>
      </right>
      <top style="thin">
        <color rgb="FF000000"/>
      </top>
      <bottom style="medium">
        <color rgb="FF000000"/>
      </bottom>
    </border>
    <border>
      <left style="double">
        <color rgb="FF000000"/>
      </left>
      <right style="thin">
        <color rgb="FF000000"/>
      </right>
      <top/>
      <bottom/>
    </border>
    <border>
      <left style="thin">
        <color rgb="FF000000"/>
      </left>
      <right style="thin">
        <color rgb="FF000000"/>
      </right>
      <top/>
      <bottom/>
    </border>
    <border>
      <left style="thin">
        <color rgb="FF000000"/>
      </left>
      <right style="medium">
        <color rgb="FF000000"/>
      </right>
      <top/>
      <bottom/>
    </border>
    <border>
      <left style="medium">
        <color rgb="FF000000"/>
      </left>
      <right/>
      <top style="thin">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border>
    <border>
      <left/>
      <right/>
      <top style="medium">
        <color rgb="FF000000"/>
      </top>
      <bottom/>
    </border>
    <border>
      <left style="thin">
        <color rgb="FF000000"/>
      </left>
      <right/>
      <top style="medium">
        <color rgb="FF000000"/>
      </top>
      <bottom style="thin">
        <color rgb="FF000000"/>
      </bottom>
    </border>
    <border>
      <left style="thin">
        <color rgb="FF000000"/>
      </left>
      <right style="medium">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000000"/>
      </left>
      <right/>
      <top style="thin">
        <color rgb="FF000000"/>
      </top>
      <bottom style="medium">
        <color rgb="FF000000"/>
      </bottom>
    </border>
    <border>
      <left style="double">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top style="medium">
        <color rgb="FF000000"/>
      </top>
      <bottom style="thin">
        <color rgb="FF000000"/>
      </bottom>
    </border>
    <border>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right/>
      <top/>
      <bottom/>
    </border>
    <border>
      <left/>
      <top/>
      <bottom/>
    </border>
    <border>
      <top/>
      <bottom/>
    </border>
    <border>
      <right/>
      <top/>
      <bottom/>
    </border>
    <border>
      <left/>
      <top/>
      <bottom style="medium">
        <color rgb="FF000000"/>
      </bottom>
    </border>
    <border>
      <top/>
      <bottom style="medium">
        <color rgb="FF000000"/>
      </bottom>
    </border>
    <border>
      <right/>
      <top/>
      <bottom style="medium">
        <color rgb="FF000000"/>
      </bottom>
    </border>
    <border>
      <right style="double">
        <color rgb="FF000000"/>
      </right>
      <top style="medium">
        <color rgb="FF000000"/>
      </top>
      <bottom style="medium">
        <color rgb="FF000000"/>
      </bottom>
    </border>
    <border>
      <left style="double">
        <color rgb="FF000000"/>
      </left>
      <top style="medium">
        <color rgb="FF000000"/>
      </top>
      <bottom style="medium">
        <color rgb="FF000000"/>
      </bottom>
    </border>
    <border>
      <left style="medium">
        <color rgb="FF000000"/>
      </left>
      <right/>
      <top style="medium">
        <color rgb="FF000000"/>
      </top>
      <bottom/>
    </border>
    <border>
      <top style="medium">
        <color rgb="FF000000"/>
      </top>
    </border>
    <border>
      <right style="double">
        <color rgb="FF000000"/>
      </right>
      <top style="medium">
        <color rgb="FF000000"/>
      </top>
    </border>
    <border>
      <left style="double">
        <color rgb="FF000000"/>
      </left>
      <top style="medium">
        <color rgb="FF000000"/>
      </top>
      <bottom/>
    </border>
    <border>
      <right/>
      <top style="medium">
        <color rgb="FF000000"/>
      </top>
      <bottom/>
    </border>
    <border>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right style="double">
        <color rgb="FF000000"/>
      </right>
      <top/>
      <bottom/>
    </border>
    <border>
      <left style="double">
        <color rgb="FF000000"/>
      </left>
      <top/>
      <bottom/>
    </border>
    <border>
      <right style="medium">
        <color rgb="FF000000"/>
      </right>
      <top/>
      <bottom/>
    </border>
    <border>
      <right style="medium">
        <color rgb="FF000000"/>
      </right>
    </border>
    <border>
      <left style="medium">
        <color rgb="FF000000"/>
      </left>
      <top/>
    </border>
    <border>
      <top/>
    </border>
    <border>
      <right/>
      <top/>
    </border>
    <border>
      <left/>
      <top/>
    </border>
    <border>
      <right style="double">
        <color rgb="FF000000"/>
      </right>
      <top/>
    </border>
    <border>
      <left style="double">
        <color rgb="FF000000"/>
      </left>
      <top/>
    </border>
    <border>
      <right style="medium">
        <color rgb="FF000000"/>
      </right>
      <top/>
    </border>
    <border>
      <left style="medium">
        <color rgb="FF000000"/>
      </left>
      <bottom style="thin">
        <color rgb="FF000000"/>
      </bottom>
    </border>
    <border>
      <bottom style="thin">
        <color rgb="FF000000"/>
      </bottom>
    </border>
    <border>
      <right/>
      <bottom style="thin">
        <color rgb="FF000000"/>
      </bottom>
    </border>
    <border>
      <left/>
      <bottom style="thin">
        <color rgb="FF000000"/>
      </bottom>
    </border>
    <border>
      <right style="double">
        <color rgb="FF000000"/>
      </right>
      <bottom style="thin">
        <color rgb="FF000000"/>
      </bottom>
    </border>
    <border>
      <left style="double">
        <color rgb="FF000000"/>
      </left>
      <bottom style="thin">
        <color rgb="FF000000"/>
      </bottom>
    </border>
    <border>
      <right style="medium">
        <color rgb="FF000000"/>
      </right>
      <bottom style="thin">
        <color rgb="FF000000"/>
      </bottom>
    </border>
    <border>
      <left style="medium">
        <color rgb="FF000000"/>
      </left>
      <top style="thin">
        <color rgb="FF000000"/>
      </top>
      <bottom/>
    </border>
    <border>
      <top style="thin">
        <color rgb="FF000000"/>
      </top>
      <bottom/>
    </border>
    <border>
      <right/>
      <top style="thin">
        <color rgb="FF000000"/>
      </top>
      <bottom/>
    </border>
    <border>
      <left/>
      <top style="thin">
        <color rgb="FF000000"/>
      </top>
      <bottom/>
    </border>
    <border>
      <right style="double">
        <color rgb="FF000000"/>
      </right>
      <top style="thin">
        <color rgb="FF000000"/>
      </top>
      <bottom/>
    </border>
    <border>
      <left style="double">
        <color rgb="FF000000"/>
      </left>
      <top style="thin">
        <color rgb="FF000000"/>
      </top>
      <bottom/>
    </border>
    <border>
      <right style="medium">
        <color rgb="FF000000"/>
      </right>
      <top style="thin">
        <color rgb="FF000000"/>
      </top>
      <bottom/>
    </border>
    <border>
      <left style="medium">
        <color rgb="FF000000"/>
      </left>
      <top/>
      <bottom style="medium">
        <color rgb="FF000000"/>
      </bottom>
    </border>
    <border>
      <right style="double">
        <color rgb="FF000000"/>
      </right>
      <top/>
      <bottom style="medium">
        <color rgb="FF000000"/>
      </bottom>
    </border>
    <border>
      <left style="double">
        <color rgb="FF000000"/>
      </left>
      <top/>
      <bottom style="medium">
        <color rgb="FF000000"/>
      </bottom>
    </border>
    <border>
      <right style="medium">
        <color rgb="FF000000"/>
      </right>
      <top/>
      <bottom style="medium">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right style="thin">
        <color rgb="FF000000"/>
      </right>
      <top/>
      <bottom/>
    </border>
    <border>
      <left style="thin">
        <color rgb="FF000000"/>
      </left>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medium">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0" fillId="0" fontId="1" numFmtId="0" xfId="0" applyAlignment="1" applyFont="1">
      <alignment horizontal="center" vertical="center"/>
    </xf>
    <xf borderId="1" fillId="2" fontId="2" numFmtId="0" xfId="0" applyAlignment="1" applyBorder="1" applyFill="1" applyFont="1">
      <alignment horizontal="left" vertical="center"/>
    </xf>
    <xf borderId="2" fillId="2" fontId="3" numFmtId="0" xfId="0" applyAlignment="1" applyBorder="1" applyFont="1">
      <alignment horizontal="center" vertical="center"/>
    </xf>
    <xf borderId="3" fillId="0" fontId="4" numFmtId="0" xfId="0" applyBorder="1" applyFont="1"/>
    <xf borderId="4" fillId="2" fontId="2" numFmtId="0" xfId="0" applyAlignment="1" applyBorder="1" applyFont="1">
      <alignment horizontal="center" vertical="center"/>
    </xf>
    <xf borderId="5" fillId="0" fontId="3" numFmtId="0" xfId="0" applyAlignment="1" applyBorder="1" applyFont="1">
      <alignment horizontal="left" vertical="center"/>
    </xf>
    <xf borderId="5" fillId="0" fontId="4" numFmtId="0" xfId="0" applyBorder="1" applyFont="1"/>
    <xf borderId="6" fillId="0" fontId="4" numFmtId="0" xfId="0" applyBorder="1" applyFont="1"/>
    <xf borderId="2" fillId="2" fontId="2" numFmtId="0" xfId="0" applyAlignment="1" applyBorder="1" applyFont="1">
      <alignment horizontal="center" vertical="center"/>
    </xf>
    <xf borderId="2" fillId="2" fontId="2" numFmtId="0" xfId="0" applyAlignment="1" applyBorder="1" applyFont="1">
      <alignment horizontal="right" vertical="center"/>
    </xf>
    <xf borderId="1" fillId="2" fontId="2" numFmtId="0" xfId="0" applyAlignment="1" applyBorder="1" applyFont="1">
      <alignment horizontal="center" vertical="center"/>
    </xf>
    <xf borderId="7" fillId="2" fontId="3" numFmtId="0" xfId="0" applyAlignment="1" applyBorder="1" applyFont="1">
      <alignment horizontal="center" vertical="center"/>
    </xf>
    <xf borderId="0" fillId="0" fontId="1" numFmtId="0" xfId="0" applyAlignment="1" applyFont="1">
      <alignment horizontal="left"/>
    </xf>
    <xf borderId="0" fillId="0" fontId="1" numFmtId="0" xfId="0" applyFont="1"/>
    <xf borderId="8" fillId="2" fontId="5" numFmtId="0" xfId="0" applyAlignment="1" applyBorder="1" applyFont="1">
      <alignment horizontal="center" shrinkToFit="0" vertical="center" wrapText="1"/>
    </xf>
    <xf borderId="9" fillId="2" fontId="2" numFmtId="0" xfId="0" applyAlignment="1" applyBorder="1" applyFont="1">
      <alignment horizontal="right" vertical="center"/>
    </xf>
    <xf borderId="10" fillId="0" fontId="4" numFmtId="0" xfId="0" applyBorder="1" applyFont="1"/>
    <xf borderId="11" fillId="2" fontId="1" numFmtId="0" xfId="0" applyAlignment="1" applyBorder="1" applyFont="1">
      <alignment horizontal="center" vertical="center"/>
    </xf>
    <xf borderId="12" fillId="0" fontId="4" numFmtId="0" xfId="0" applyBorder="1" applyFont="1"/>
    <xf borderId="13" fillId="3" fontId="2" numFmtId="0" xfId="0" applyAlignment="1" applyBorder="1" applyFill="1" applyFont="1">
      <alignment horizontal="right" vertical="center"/>
    </xf>
    <xf borderId="14" fillId="0" fontId="4" numFmtId="0" xfId="0" applyBorder="1" applyFont="1"/>
    <xf borderId="15" fillId="3" fontId="1" numFmtId="0" xfId="0" applyAlignment="1" applyBorder="1" applyFont="1">
      <alignment horizontal="center" vertical="center"/>
    </xf>
    <xf borderId="16" fillId="0" fontId="4" numFmtId="0" xfId="0" applyBorder="1" applyFont="1"/>
    <xf borderId="13" fillId="2" fontId="2" numFmtId="0" xfId="0" applyAlignment="1" applyBorder="1" applyFont="1">
      <alignment horizontal="right" vertical="center"/>
    </xf>
    <xf borderId="15" fillId="2" fontId="1" numFmtId="0" xfId="0" applyAlignment="1" applyBorder="1" applyFont="1">
      <alignment horizontal="center" vertical="center"/>
    </xf>
    <xf borderId="17" fillId="0" fontId="4" numFmtId="0" xfId="0" applyBorder="1" applyFont="1"/>
    <xf borderId="8" fillId="2" fontId="6" numFmtId="0" xfId="0" applyAlignment="1" applyBorder="1" applyFont="1">
      <alignment shrinkToFit="0" wrapText="1"/>
    </xf>
    <xf borderId="18" fillId="2" fontId="2" numFmtId="0" xfId="0" applyAlignment="1" applyBorder="1" applyFont="1">
      <alignment horizontal="right" vertical="center"/>
    </xf>
    <xf borderId="19" fillId="0" fontId="4" numFmtId="0" xfId="0" applyBorder="1" applyFont="1"/>
    <xf borderId="20" fillId="2" fontId="1" numFmtId="0" xfId="0" applyAlignment="1" applyBorder="1" applyFont="1">
      <alignment horizontal="center" vertical="center"/>
    </xf>
    <xf borderId="21" fillId="0" fontId="4" numFmtId="0" xfId="0" applyBorder="1" applyFont="1"/>
    <xf borderId="18" fillId="3" fontId="2" numFmtId="0" xfId="0" applyAlignment="1" applyBorder="1" applyFont="1">
      <alignment horizontal="right" vertical="center"/>
    </xf>
    <xf borderId="22" fillId="3" fontId="1" numFmtId="0" xfId="0" applyAlignment="1" applyBorder="1" applyFont="1">
      <alignment horizontal="center" vertical="center"/>
    </xf>
    <xf borderId="22" fillId="2" fontId="1" numFmtId="0" xfId="0" applyAlignment="1" applyBorder="1" applyFont="1">
      <alignment horizontal="center" vertical="center"/>
    </xf>
    <xf borderId="23" fillId="0" fontId="4" numFmtId="0" xfId="0" applyBorder="1" applyFont="1"/>
    <xf borderId="8" fillId="2" fontId="1" numFmtId="0" xfId="0" applyAlignment="1" applyBorder="1" applyFont="1">
      <alignment shrinkToFit="0" wrapText="1"/>
    </xf>
    <xf borderId="20" fillId="3" fontId="1" numFmtId="0" xfId="0" applyAlignment="1" applyBorder="1" applyFont="1">
      <alignment horizontal="center" vertical="center"/>
    </xf>
    <xf borderId="24" fillId="2" fontId="2" numFmtId="0" xfId="0" applyAlignment="1" applyBorder="1" applyFont="1">
      <alignment horizontal="center" textRotation="90" vertical="center"/>
    </xf>
    <xf borderId="18" fillId="2" fontId="2" numFmtId="164" xfId="0" applyAlignment="1" applyBorder="1" applyFont="1" applyNumberFormat="1">
      <alignment horizontal="right" vertical="center"/>
    </xf>
    <xf borderId="25" fillId="2" fontId="2" numFmtId="0" xfId="0" applyAlignment="1" applyBorder="1" applyFont="1">
      <alignment horizontal="left" vertical="center"/>
    </xf>
    <xf borderId="26" fillId="2" fontId="1" numFmtId="0" xfId="0" applyAlignment="1" applyBorder="1" applyFont="1">
      <alignment horizontal="left" vertical="center"/>
    </xf>
    <xf borderId="18" fillId="3" fontId="2" numFmtId="164" xfId="0" applyAlignment="1" applyBorder="1" applyFont="1" applyNumberFormat="1">
      <alignment horizontal="right" vertical="center"/>
    </xf>
    <xf borderId="25" fillId="3" fontId="2" numFmtId="0" xfId="0" applyAlignment="1" applyBorder="1" applyFont="1">
      <alignment horizontal="left" vertical="center"/>
    </xf>
    <xf borderId="26" fillId="3" fontId="1" numFmtId="0" xfId="0" applyAlignment="1" applyBorder="1" applyFont="1">
      <alignment horizontal="left" vertical="center"/>
    </xf>
    <xf borderId="27" fillId="2" fontId="1" numFmtId="0" xfId="0" applyAlignment="1" applyBorder="1" applyFont="1">
      <alignment horizontal="left" vertical="center"/>
    </xf>
    <xf borderId="28" fillId="2" fontId="2" numFmtId="0" xfId="0" applyAlignment="1" applyBorder="1" applyFont="1">
      <alignment horizontal="center" textRotation="90" vertical="center"/>
    </xf>
    <xf borderId="29" fillId="2" fontId="2" numFmtId="164" xfId="0" applyAlignment="1" applyBorder="1" applyFont="1" applyNumberFormat="1">
      <alignment horizontal="center" shrinkToFit="0" textRotation="90" vertical="center" wrapText="1"/>
    </xf>
    <xf borderId="30" fillId="2" fontId="2" numFmtId="164" xfId="0" applyAlignment="1" applyBorder="1" applyFont="1" applyNumberFormat="1">
      <alignment horizontal="center" shrinkToFit="0" textRotation="90" vertical="center" wrapText="1"/>
    </xf>
    <xf borderId="31" fillId="2" fontId="2" numFmtId="164" xfId="0" applyAlignment="1" applyBorder="1" applyFont="1" applyNumberFormat="1">
      <alignment horizontal="center" shrinkToFit="0" textRotation="90" vertical="center" wrapText="1"/>
    </xf>
    <xf borderId="29" fillId="3" fontId="2" numFmtId="164" xfId="0" applyAlignment="1" applyBorder="1" applyFont="1" applyNumberFormat="1">
      <alignment horizontal="center" shrinkToFit="0" textRotation="90" vertical="center" wrapText="1"/>
    </xf>
    <xf borderId="30" fillId="3" fontId="2" numFmtId="164" xfId="0" applyAlignment="1" applyBorder="1" applyFont="1" applyNumberFormat="1">
      <alignment horizontal="center" shrinkToFit="0" textRotation="90" vertical="center" wrapText="1"/>
    </xf>
    <xf borderId="31" fillId="3" fontId="2" numFmtId="164" xfId="0" applyAlignment="1" applyBorder="1" applyFont="1" applyNumberFormat="1">
      <alignment horizontal="center" shrinkToFit="0" textRotation="90" vertical="center" wrapText="1"/>
    </xf>
    <xf borderId="32" fillId="2" fontId="2" numFmtId="164" xfId="0" applyAlignment="1" applyBorder="1" applyFont="1" applyNumberFormat="1">
      <alignment horizontal="center" shrinkToFit="0" textRotation="90" vertical="center" wrapText="1"/>
    </xf>
    <xf borderId="33" fillId="2" fontId="2" numFmtId="0" xfId="0" applyAlignment="1" applyBorder="1" applyFont="1">
      <alignment horizontal="center" vertical="center"/>
    </xf>
    <xf borderId="34" fillId="2" fontId="2" numFmtId="164" xfId="0" applyAlignment="1" applyBorder="1" applyFont="1" applyNumberFormat="1">
      <alignment horizontal="center" vertical="center"/>
    </xf>
    <xf borderId="35" fillId="2" fontId="2" numFmtId="164" xfId="0" applyAlignment="1" applyBorder="1" applyFont="1" applyNumberFormat="1">
      <alignment horizontal="center" vertical="center"/>
    </xf>
    <xf borderId="34" fillId="3" fontId="2" numFmtId="164" xfId="0" applyAlignment="1" applyBorder="1" applyFont="1" applyNumberFormat="1">
      <alignment horizontal="center" vertical="center"/>
    </xf>
    <xf borderId="35" fillId="3" fontId="2" numFmtId="164" xfId="0" applyAlignment="1" applyBorder="1" applyFont="1" applyNumberFormat="1">
      <alignment horizontal="center" vertical="center"/>
    </xf>
    <xf borderId="36" fillId="2" fontId="2" numFmtId="164" xfId="0" applyAlignment="1" applyBorder="1" applyFont="1" applyNumberFormat="1">
      <alignment horizontal="center" vertical="center"/>
    </xf>
    <xf borderId="37" fillId="2" fontId="1" numFmtId="0" xfId="0" applyAlignment="1" applyBorder="1" applyFont="1">
      <alignment horizontal="center" vertical="center"/>
    </xf>
    <xf borderId="38" fillId="2" fontId="1" numFmtId="3" xfId="0" applyAlignment="1" applyBorder="1" applyFont="1" applyNumberFormat="1">
      <alignment horizontal="center" vertical="center"/>
    </xf>
    <xf borderId="39" fillId="2" fontId="1" numFmtId="0" xfId="0" applyAlignment="1" applyBorder="1" applyFont="1">
      <alignment horizontal="center" vertical="center"/>
    </xf>
    <xf borderId="40" fillId="2" fontId="1" numFmtId="165" xfId="0" applyAlignment="1" applyBorder="1" applyFont="1" applyNumberFormat="1">
      <alignment horizontal="center" vertical="center"/>
    </xf>
    <xf borderId="41" fillId="2" fontId="1" numFmtId="165" xfId="0" applyAlignment="1" applyBorder="1" applyFont="1" applyNumberFormat="1">
      <alignment horizontal="center" vertical="center"/>
    </xf>
    <xf borderId="38" fillId="3" fontId="1" numFmtId="3" xfId="0" applyAlignment="1" applyBorder="1" applyFont="1" applyNumberFormat="1">
      <alignment horizontal="center" vertical="center"/>
    </xf>
    <xf borderId="39" fillId="3" fontId="1" numFmtId="0" xfId="0" applyAlignment="1" applyBorder="1" applyFont="1">
      <alignment horizontal="center" vertical="center"/>
    </xf>
    <xf borderId="40" fillId="3" fontId="1" numFmtId="165" xfId="0" applyAlignment="1" applyBorder="1" applyFont="1" applyNumberFormat="1">
      <alignment horizontal="center" vertical="center"/>
    </xf>
    <xf borderId="41" fillId="3" fontId="1" numFmtId="165" xfId="0" applyAlignment="1" applyBorder="1" applyFont="1" applyNumberFormat="1">
      <alignment horizontal="center" vertical="center"/>
    </xf>
    <xf borderId="42" fillId="2" fontId="1" numFmtId="0" xfId="0" applyAlignment="1" applyBorder="1" applyFont="1">
      <alignment horizontal="center" vertical="center"/>
    </xf>
    <xf borderId="43" fillId="2" fontId="1" numFmtId="165" xfId="0" applyAlignment="1" applyBorder="1" applyFont="1" applyNumberFormat="1">
      <alignment horizontal="center" vertical="center"/>
    </xf>
    <xf borderId="29" fillId="2" fontId="1" numFmtId="3" xfId="0" applyAlignment="1" applyBorder="1" applyFont="1" applyNumberFormat="1">
      <alignment horizontal="center" vertical="center"/>
    </xf>
    <xf borderId="44" fillId="2" fontId="1" numFmtId="0" xfId="0" applyAlignment="1" applyBorder="1" applyFont="1">
      <alignment horizontal="center" vertical="center"/>
    </xf>
    <xf borderId="44" fillId="2" fontId="1" numFmtId="165" xfId="0" applyAlignment="1" applyBorder="1" applyFont="1" applyNumberFormat="1">
      <alignment horizontal="center" vertical="center"/>
    </xf>
    <xf borderId="45" fillId="2" fontId="1" numFmtId="165" xfId="0" applyAlignment="1" applyBorder="1" applyFont="1" applyNumberFormat="1">
      <alignment horizontal="center" vertical="center"/>
    </xf>
    <xf borderId="46" fillId="3" fontId="1" numFmtId="3" xfId="0" applyAlignment="1" applyBorder="1" applyFont="1" applyNumberFormat="1">
      <alignment horizontal="center" vertical="center"/>
    </xf>
    <xf borderId="44" fillId="3" fontId="1" numFmtId="0" xfId="0" applyAlignment="1" applyBorder="1" applyFont="1">
      <alignment horizontal="center" vertical="center"/>
    </xf>
    <xf borderId="44" fillId="3" fontId="1" numFmtId="165" xfId="0" applyAlignment="1" applyBorder="1" applyFont="1" applyNumberFormat="1">
      <alignment horizontal="center" vertical="center"/>
    </xf>
    <xf borderId="45" fillId="3" fontId="1" numFmtId="165" xfId="0" applyAlignment="1" applyBorder="1" applyFont="1" applyNumberFormat="1">
      <alignment horizontal="center" vertical="center"/>
    </xf>
    <xf borderId="46" fillId="2" fontId="1" numFmtId="3" xfId="0" applyAlignment="1" applyBorder="1" applyFont="1" applyNumberFormat="1">
      <alignment horizontal="center" vertical="center"/>
    </xf>
    <xf borderId="47" fillId="2" fontId="1" numFmtId="0" xfId="0" applyAlignment="1" applyBorder="1" applyFont="1">
      <alignment horizontal="center" vertical="center"/>
    </xf>
    <xf borderId="32" fillId="2" fontId="1" numFmtId="165" xfId="0" applyAlignment="1" applyBorder="1" applyFont="1" applyNumberFormat="1">
      <alignment horizontal="center" vertical="center"/>
    </xf>
    <xf borderId="48" fillId="2" fontId="1" numFmtId="0" xfId="0" applyAlignment="1" applyBorder="1" applyFont="1">
      <alignment horizontal="center" vertical="center"/>
    </xf>
    <xf borderId="35" fillId="2" fontId="1" numFmtId="165" xfId="0" applyAlignment="1" applyBorder="1" applyFont="1" applyNumberFormat="1">
      <alignment horizontal="center" vertical="center"/>
    </xf>
    <xf borderId="49" fillId="3" fontId="1" numFmtId="3" xfId="0" applyAlignment="1" applyBorder="1" applyFont="1" applyNumberFormat="1">
      <alignment horizontal="center" vertical="center"/>
    </xf>
    <xf borderId="50" fillId="3" fontId="1" numFmtId="0" xfId="0" applyAlignment="1" applyBorder="1" applyFont="1">
      <alignment horizontal="center" vertical="center"/>
    </xf>
    <xf borderId="35" fillId="3" fontId="1" numFmtId="165" xfId="0" applyAlignment="1" applyBorder="1" applyFont="1" applyNumberFormat="1">
      <alignment horizontal="center" vertical="center"/>
    </xf>
    <xf borderId="49" fillId="2" fontId="1" numFmtId="3" xfId="0" applyAlignment="1" applyBorder="1" applyFont="1" applyNumberFormat="1">
      <alignment horizontal="center" vertical="center"/>
    </xf>
    <xf borderId="50" fillId="2" fontId="1" numFmtId="0" xfId="0" applyAlignment="1" applyBorder="1" applyFont="1">
      <alignment horizontal="center" vertical="center"/>
    </xf>
    <xf borderId="51" fillId="2" fontId="1" numFmtId="0" xfId="0" applyAlignment="1" applyBorder="1" applyFont="1">
      <alignment horizontal="center" vertical="center"/>
    </xf>
    <xf borderId="52" fillId="2" fontId="1" numFmtId="165" xfId="0" applyAlignment="1" applyBorder="1" applyFont="1" applyNumberFormat="1">
      <alignment horizontal="center" vertical="center"/>
    </xf>
    <xf borderId="53" fillId="2" fontId="2" numFmtId="0" xfId="0" applyAlignment="1" applyBorder="1" applyFont="1">
      <alignment horizontal="right" shrinkToFit="0" vertical="center" wrapText="1"/>
    </xf>
    <xf borderId="54" fillId="0" fontId="4" numFmtId="0" xfId="0" applyBorder="1" applyFont="1"/>
    <xf borderId="39" fillId="2" fontId="1" numFmtId="165" xfId="0" applyAlignment="1" applyBorder="1" applyFont="1" applyNumberFormat="1">
      <alignment horizontal="center" vertical="center"/>
    </xf>
    <xf borderId="39" fillId="0" fontId="1" numFmtId="4" xfId="0" applyAlignment="1" applyBorder="1" applyFont="1" applyNumberFormat="1">
      <alignment horizontal="center" vertical="center"/>
    </xf>
    <xf borderId="39" fillId="3" fontId="1" numFmtId="165" xfId="0" applyAlignment="1" applyBorder="1" applyFont="1" applyNumberFormat="1">
      <alignment horizontal="center" vertical="center"/>
    </xf>
    <xf borderId="55" fillId="0" fontId="1" numFmtId="4" xfId="0" applyAlignment="1" applyBorder="1" applyFont="1" applyNumberFormat="1">
      <alignment horizontal="center" vertical="center"/>
    </xf>
    <xf borderId="56" fillId="2" fontId="2" numFmtId="0" xfId="0" applyAlignment="1" applyBorder="1" applyFont="1">
      <alignment horizontal="right" shrinkToFit="0" vertical="center" wrapText="1"/>
    </xf>
    <xf borderId="57" fillId="0" fontId="4" numFmtId="0" xfId="0" applyBorder="1" applyFont="1"/>
    <xf borderId="58" fillId="0" fontId="4" numFmtId="0" xfId="0" applyBorder="1" applyFont="1"/>
    <xf borderId="50" fillId="0" fontId="1" numFmtId="0" xfId="0" applyAlignment="1" applyBorder="1" applyFont="1">
      <alignment horizontal="center" vertical="center"/>
    </xf>
    <xf borderId="50" fillId="0" fontId="1" numFmtId="4" xfId="0" applyAlignment="1" applyBorder="1" applyFont="1" applyNumberFormat="1">
      <alignment horizontal="center" vertical="center"/>
    </xf>
    <xf borderId="50" fillId="3" fontId="1" numFmtId="2" xfId="0" applyAlignment="1" applyBorder="1" applyFont="1" applyNumberFormat="1">
      <alignment horizontal="center" vertical="center"/>
    </xf>
    <xf borderId="50" fillId="2" fontId="1" numFmtId="2" xfId="0" applyAlignment="1" applyBorder="1" applyFont="1" applyNumberFormat="1">
      <alignment horizontal="center" vertical="center"/>
    </xf>
    <xf borderId="52" fillId="0" fontId="1" numFmtId="0" xfId="0" applyBorder="1" applyFont="1"/>
    <xf borderId="59" fillId="2" fontId="1" numFmtId="0" xfId="0" applyAlignment="1" applyBorder="1" applyFont="1">
      <alignment horizontal="center" vertical="center"/>
    </xf>
    <xf borderId="59" fillId="2" fontId="2" numFmtId="0" xfId="0" applyAlignment="1" applyBorder="1" applyFont="1">
      <alignment horizontal="right" shrinkToFit="0" vertical="center" wrapText="1"/>
    </xf>
    <xf borderId="59" fillId="2" fontId="1" numFmtId="0" xfId="0" applyAlignment="1" applyBorder="1" applyFont="1">
      <alignment horizontal="right" shrinkToFit="0" vertical="center" wrapText="1"/>
    </xf>
    <xf borderId="59" fillId="2" fontId="1" numFmtId="0" xfId="0" applyAlignment="1" applyBorder="1" applyFont="1">
      <alignment vertical="center"/>
    </xf>
    <xf borderId="59" fillId="2" fontId="1" numFmtId="4" xfId="0" applyAlignment="1" applyBorder="1" applyFont="1" applyNumberFormat="1">
      <alignment horizontal="center" vertical="center"/>
    </xf>
    <xf borderId="59" fillId="2" fontId="1" numFmtId="2" xfId="0" applyAlignment="1" applyBorder="1" applyFont="1" applyNumberFormat="1">
      <alignment horizontal="center" vertical="center"/>
    </xf>
    <xf borderId="59" fillId="2" fontId="1" numFmtId="2" xfId="0" applyBorder="1" applyFont="1" applyNumberFormat="1"/>
    <xf borderId="59" fillId="2" fontId="1" numFmtId="0" xfId="0" applyBorder="1" applyFont="1"/>
    <xf borderId="60" fillId="2" fontId="7" numFmtId="0" xfId="0" applyAlignment="1" applyBorder="1" applyFont="1">
      <alignment horizontal="left" vertical="center"/>
    </xf>
    <xf borderId="61" fillId="0" fontId="4" numFmtId="0" xfId="0" applyBorder="1" applyFont="1"/>
    <xf borderId="62" fillId="0" fontId="4" numFmtId="0" xfId="0" applyBorder="1" applyFont="1"/>
    <xf borderId="0" fillId="0" fontId="1" numFmtId="0" xfId="0" applyAlignment="1" applyFont="1">
      <alignment vertical="center"/>
    </xf>
    <xf borderId="63" fillId="2" fontId="1" numFmtId="0" xfId="0" applyAlignment="1" applyBorder="1" applyFont="1">
      <alignment horizontal="center" shrinkToFit="0" vertical="center" wrapText="1"/>
    </xf>
    <xf borderId="64" fillId="0" fontId="4" numFmtId="0" xfId="0" applyBorder="1" applyFont="1"/>
    <xf borderId="65" fillId="0" fontId="4" numFmtId="0" xfId="0" applyBorder="1" applyFont="1"/>
    <xf borderId="4" fillId="2" fontId="1" numFmtId="0" xfId="0" applyAlignment="1" applyBorder="1" applyFont="1">
      <alignment horizontal="left" shrinkToFit="0" vertical="top" wrapText="1"/>
    </xf>
    <xf borderId="2" fillId="2" fontId="1" numFmtId="0" xfId="0" applyBorder="1" applyFont="1"/>
    <xf borderId="66" fillId="0" fontId="4" numFmtId="0" xfId="0" applyBorder="1" applyFont="1"/>
    <xf borderId="67" fillId="2" fontId="2" numFmtId="0" xfId="0" applyAlignment="1" applyBorder="1" applyFont="1">
      <alignment horizontal="center" vertical="center"/>
    </xf>
    <xf borderId="68" fillId="2" fontId="2" numFmtId="0" xfId="0" applyAlignment="1" applyBorder="1" applyFont="1">
      <alignment horizontal="left" vertical="center"/>
    </xf>
    <xf borderId="69" fillId="0" fontId="3" numFmtId="0" xfId="0" applyAlignment="1" applyBorder="1" applyFont="1">
      <alignment horizontal="left" vertical="center"/>
    </xf>
    <xf borderId="69" fillId="0" fontId="4" numFmtId="0" xfId="0" applyBorder="1" applyFont="1"/>
    <xf borderId="70" fillId="0" fontId="4" numFmtId="0" xfId="0" applyBorder="1" applyFont="1"/>
    <xf borderId="71" fillId="2" fontId="2" numFmtId="0" xfId="0" applyAlignment="1" applyBorder="1" applyFont="1">
      <alignment horizontal="left" vertical="center"/>
    </xf>
    <xf borderId="72" fillId="0" fontId="4" numFmtId="0" xfId="0" applyBorder="1" applyFont="1"/>
    <xf borderId="73" fillId="2" fontId="3" numFmtId="0" xfId="0" applyBorder="1" applyFont="1"/>
    <xf borderId="74" fillId="0" fontId="4" numFmtId="0" xfId="0" applyBorder="1" applyFont="1"/>
    <xf borderId="75" fillId="0" fontId="4" numFmtId="0" xfId="0" applyBorder="1" applyFont="1"/>
    <xf borderId="76" fillId="2" fontId="2" numFmtId="0" xfId="0" applyAlignment="1" applyBorder="1" applyFont="1">
      <alignment horizontal="left" vertical="center"/>
    </xf>
    <xf borderId="60" fillId="2" fontId="3" numFmtId="0" xfId="0" applyAlignment="1" applyBorder="1" applyFont="1">
      <alignment horizontal="left" vertical="center"/>
    </xf>
    <xf borderId="77" fillId="0" fontId="4" numFmtId="0" xfId="0" applyBorder="1" applyFont="1"/>
    <xf borderId="78" fillId="2" fontId="2" numFmtId="0" xfId="0" applyAlignment="1" applyBorder="1" applyFont="1">
      <alignment horizontal="left" vertical="center"/>
    </xf>
    <xf borderId="60" fillId="2" fontId="3" numFmtId="0" xfId="0" applyBorder="1" applyFont="1"/>
    <xf borderId="79" fillId="0" fontId="4" numFmtId="0" xfId="0" applyBorder="1" applyFont="1"/>
    <xf borderId="8" fillId="2" fontId="2" numFmtId="0" xfId="0" applyAlignment="1" applyBorder="1" applyFont="1">
      <alignment horizontal="left" vertical="center"/>
    </xf>
    <xf borderId="0" fillId="0" fontId="3" numFmtId="0" xfId="0" applyAlignment="1" applyFont="1">
      <alignment horizontal="left" vertical="center"/>
    </xf>
    <xf borderId="60" fillId="2" fontId="2" numFmtId="0" xfId="0" applyAlignment="1" applyBorder="1" applyFont="1">
      <alignment horizontal="left" vertical="center"/>
    </xf>
    <xf borderId="80" fillId="0" fontId="4" numFmtId="0" xfId="0" applyBorder="1" applyFont="1"/>
    <xf borderId="60" fillId="2" fontId="3" numFmtId="166" xfId="0" applyAlignment="1" applyBorder="1" applyFont="1" applyNumberFormat="1">
      <alignment horizontal="left" vertical="center"/>
    </xf>
    <xf borderId="81" fillId="2" fontId="1" numFmtId="0" xfId="0" applyBorder="1" applyFont="1"/>
    <xf borderId="82" fillId="0" fontId="4" numFmtId="0" xfId="0" applyBorder="1" applyFont="1"/>
    <xf borderId="83" fillId="0" fontId="4" numFmtId="0" xfId="0" applyBorder="1" applyFont="1"/>
    <xf borderId="84" fillId="2" fontId="3" numFmtId="166" xfId="0" applyBorder="1" applyFont="1" applyNumberFormat="1"/>
    <xf borderId="85" fillId="0" fontId="4" numFmtId="0" xfId="0" applyBorder="1" applyFont="1"/>
    <xf borderId="86" fillId="2" fontId="1" numFmtId="0" xfId="0" applyBorder="1" applyFont="1"/>
    <xf borderId="87" fillId="0" fontId="4" numFmtId="0" xfId="0" applyBorder="1" applyFont="1"/>
    <xf borderId="88" fillId="0" fontId="4" numFmtId="0" xfId="0" applyBorder="1" applyFont="1"/>
    <xf borderId="89" fillId="0" fontId="4" numFmtId="0" xfId="0" applyBorder="1" applyFont="1"/>
    <xf borderId="90" fillId="0" fontId="4" numFmtId="0" xfId="0" applyBorder="1" applyFont="1"/>
    <xf borderId="91" fillId="0" fontId="4" numFmtId="0" xfId="0" applyBorder="1" applyFont="1"/>
    <xf borderId="92" fillId="0" fontId="4" numFmtId="0" xfId="0" applyBorder="1" applyFont="1"/>
    <xf borderId="93" fillId="0" fontId="4" numFmtId="0" xfId="0" applyBorder="1" applyFont="1"/>
    <xf borderId="94" fillId="0" fontId="4" numFmtId="0" xfId="0" applyBorder="1" applyFont="1"/>
    <xf borderId="95" fillId="2" fontId="1" numFmtId="0" xfId="0" applyAlignment="1" applyBorder="1" applyFont="1">
      <alignment horizontal="center" vertical="center"/>
    </xf>
    <xf borderId="96" fillId="0" fontId="4" numFmtId="0" xfId="0" applyBorder="1" applyFont="1"/>
    <xf borderId="97" fillId="0" fontId="4" numFmtId="0" xfId="0" applyBorder="1" applyFont="1"/>
    <xf borderId="98" fillId="2" fontId="1" numFmtId="0" xfId="0" applyAlignment="1" applyBorder="1" applyFont="1">
      <alignment horizontal="center" vertical="center"/>
    </xf>
    <xf borderId="99" fillId="0" fontId="4" numFmtId="0" xfId="0" applyBorder="1" applyFont="1"/>
    <xf borderId="100" fillId="2" fontId="1" numFmtId="0" xfId="0" applyAlignment="1" applyBorder="1" applyFont="1">
      <alignment horizontal="center" vertical="center"/>
    </xf>
    <xf borderId="101" fillId="0" fontId="4" numFmtId="0" xfId="0" applyBorder="1" applyFont="1"/>
    <xf borderId="102" fillId="2" fontId="8" numFmtId="0" xfId="0" applyAlignment="1" applyBorder="1" applyFont="1">
      <alignment horizontal="center" shrinkToFit="0" vertical="top" wrapText="1"/>
    </xf>
    <xf borderId="103" fillId="0" fontId="4" numFmtId="0" xfId="0" applyBorder="1" applyFont="1"/>
    <xf borderId="104" fillId="2" fontId="8" numFmtId="0" xfId="0" applyAlignment="1" applyBorder="1" applyFont="1">
      <alignment horizontal="center" shrinkToFit="0" vertical="top" wrapText="1"/>
    </xf>
    <xf borderId="105" fillId="0" fontId="4" numFmtId="0" xfId="0" applyBorder="1" applyFont="1"/>
    <xf borderId="73" fillId="2" fontId="9" numFmtId="0" xfId="0" applyAlignment="1" applyBorder="1" applyFont="1">
      <alignment horizontal="center" shrinkToFit="0" vertical="center" wrapText="1"/>
    </xf>
    <xf borderId="60" fillId="2" fontId="9" numFmtId="0" xfId="0" applyAlignment="1" applyBorder="1" applyFont="1">
      <alignment horizontal="center" shrinkToFit="0" vertical="center" wrapText="1"/>
    </xf>
    <xf borderId="106" fillId="2" fontId="10" numFmtId="0" xfId="0" applyAlignment="1" applyBorder="1" applyFont="1">
      <alignment horizontal="left" vertical="center"/>
    </xf>
    <xf borderId="107" fillId="2" fontId="11" numFmtId="0" xfId="0" applyAlignment="1" applyBorder="1" applyFont="1">
      <alignment horizontal="center" vertical="center"/>
    </xf>
    <xf borderId="108" fillId="2" fontId="11" numFmtId="0" xfId="0" applyAlignment="1" applyBorder="1" applyFont="1">
      <alignment horizontal="center" vertical="center"/>
    </xf>
    <xf borderId="59" fillId="2" fontId="11" numFmtId="0" xfId="0" applyAlignment="1" applyBorder="1" applyFont="1">
      <alignment horizontal="center" vertical="center"/>
    </xf>
    <xf borderId="109" fillId="2" fontId="11" numFmtId="0" xfId="0" applyAlignment="1" applyBorder="1" applyFont="1">
      <alignment horizontal="center" vertical="center"/>
    </xf>
    <xf borderId="110" fillId="2" fontId="12" numFmtId="0" xfId="0" applyBorder="1" applyFont="1"/>
    <xf borderId="110" fillId="2" fontId="11" numFmtId="0" xfId="0" applyAlignment="1" applyBorder="1" applyFont="1">
      <alignment horizontal="center" vertical="center"/>
    </xf>
    <xf borderId="111" fillId="2" fontId="11" numFmtId="0" xfId="0" applyAlignment="1" applyBorder="1" applyFont="1">
      <alignment horizontal="center" vertical="center"/>
    </xf>
    <xf borderId="112" fillId="2" fontId="11" numFmtId="0" xfId="0" applyAlignment="1" applyBorder="1" applyFont="1">
      <alignment horizontal="center" vertical="center"/>
    </xf>
    <xf borderId="113" fillId="2" fontId="11" numFmtId="0" xfId="0" applyAlignment="1" applyBorder="1" applyFont="1">
      <alignment horizontal="center" vertical="center"/>
    </xf>
    <xf borderId="114" fillId="0" fontId="13" numFmtId="0" xfId="0" applyAlignment="1" applyBorder="1" applyFont="1">
      <alignment horizontal="center" vertical="center"/>
    </xf>
    <xf borderId="115" fillId="0" fontId="14" numFmtId="0" xfId="0" applyAlignment="1" applyBorder="1" applyFont="1">
      <alignment horizontal="center" vertical="center"/>
    </xf>
    <xf borderId="44" fillId="0" fontId="14" numFmtId="0" xfId="0" applyAlignment="1" applyBorder="1" applyFont="1">
      <alignment horizontal="center" vertical="center"/>
    </xf>
    <xf borderId="0" fillId="0" fontId="15"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7591425" cy="7905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athaniel Thornburg" id="{84c7ceb9-3592-44f4-8398-c8a272cf99b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P7" dT="2026-01-29T17:51:04.00" personId="{84c7ceb9-3592-44f4-8398-c8a272cf99b4}" id="{2b3cbd97-38e0-49f4-a1e2-7544a6fffc9a}" done="0">
    <x18tc:text xml:space="preserve">Average Concentration is the average concentration reported on the NDMR for the selected parameter for each particular month.</x18tc:text>
  </x18tc:threadedComment>
  <x18tc:threadedComment ref="G7" dT="2026-01-29T17:51:04.00" personId="{84c7ceb9-3592-44f4-8398-c8a272cf99b4}" id="{2093824f-5569-47af-96aa-e05b48509617}" done="0">
    <x18tc:text xml:space="preserve">Volume Applied is the volume of water reported on the NDAR-1 for this field for each particular month.</x18tc:text>
  </x18tc:threadedComment>
  <x18tc:threadedComment ref="O7" dT="2026-01-29T17:51:04.00" personId="{84c7ceb9-3592-44f4-8398-c8a272cf99b4}" id="{8b42d72d-b7f6-453b-9f8a-da43943bc2dc}" done="0">
    <x18tc:text xml:space="preserve">Volume Applied is the volume of water reported on the NDAR-1 for this field for each particular month.</x18tc:text>
  </x18tc:threadedComment>
  <x18tc:threadedComment ref="C7" dT="2026-01-29T17:51:04.00" personId="{84c7ceb9-3592-44f4-8398-c8a272cf99b4}" id="{84bca851-3709-415f-b9e6-52512768c7e4}" done="0">
    <x18tc:text xml:space="preserve">Volume Applied is the volume of water reported on the NDAR-1 for this field for each particular month.</x18tc:text>
  </x18tc:threadedComment>
  <x18tc:threadedComment ref="T7" dT="2026-01-29T17:51:04.00" personId="{84c7ceb9-3592-44f4-8398-c8a272cf99b4}" id="{1b127ccf-3d07-4205-b94d-2312dda8e32a}" done="0">
    <x18tc:text xml:space="preserve">Average Concentration is the average concentration reported on the NDMR for the selected parameter for each particular month.</x18tc:text>
  </x18tc:threadedComment>
  <x18tc:threadedComment ref="K7" dT="2026-01-29T17:51:04.00" personId="{84c7ceb9-3592-44f4-8398-c8a272cf99b4}" id="{4510617d-5e9f-4008-ab3b-367feb3acae5}" done="0">
    <x18tc:text xml:space="preserve">Volume Applied is the volume of water reported on the NDAR-1 for this field for each particular month.</x18tc:text>
  </x18tc:threadedComment>
  <x18tc:threadedComment ref="D7" dT="2026-01-29T17:51:04.00" personId="{84c7ceb9-3592-44f4-8398-c8a272cf99b4}" id="{3cf327e0-0eba-4b48-a0ec-fa69219c289a}" done="0">
    <x18tc:text xml:space="preserve">Average Concentration is the average concentration reported on the NDMR for the selected parameter for each particular month.</x18tc:text>
  </x18tc:threadedComment>
  <x18tc:threadedComment ref="L7" dT="2026-01-29T17:51:04.00" personId="{84c7ceb9-3592-44f4-8398-c8a272cf99b4}" id="{62d2ebfb-b1e2-458d-b516-1bc02d25eb9b}" done="0">
    <x18tc:text xml:space="preserve">Average Concentration is the average concentration reported on the NDMR for the selected parameter for each particular month.</x18tc:text>
  </x18tc:threadedComment>
  <x18tc:threadedComment ref="H7" dT="2026-01-29T17:51:04.00" personId="{84c7ceb9-3592-44f4-8398-c8a272cf99b4}" id="{28179b7c-e3ab-487b-babd-db8c718ed71e}" done="0">
    <x18tc:text xml:space="preserve">Average Concentration is the average concentration reported on the NDMR for the selected parameter for each particular month.</x18tc:text>
  </x18tc:threadedComment>
  <x18tc:threadedComment ref="S7" dT="2026-01-29T17:51:04.00" personId="{84c7ceb9-3592-44f4-8398-c8a272cf99b4}" id="{ac13f4e8-cc9d-4c1b-8c03-45965af0dae0}" done="0">
    <x18tc:text xml:space="preserve">Volume Applied is the volume of water reported on the NDAR-1 for this field for each particular month.</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hidden="1" min="1" max="1" width="9.13"/>
    <col customWidth="1" min="2" max="2" width="12.38"/>
    <col customWidth="1" min="3" max="3" width="9.88"/>
    <col customWidth="1" min="4" max="6" width="7.13"/>
    <col customWidth="1" min="7" max="7" width="9.88"/>
    <col customWidth="1" min="8" max="10" width="7.13"/>
    <col customWidth="1" min="11" max="11" width="9.88"/>
    <col customWidth="1" min="12" max="14" width="7.13"/>
    <col customWidth="1" min="15" max="15" width="9.88"/>
    <col customWidth="1" min="16" max="18" width="7.13"/>
    <col customWidth="1" min="19" max="19" width="9.88"/>
    <col customWidth="1" min="20" max="22" width="7.13"/>
    <col customWidth="1" min="23" max="23" width="9.13"/>
    <col customWidth="1" min="24" max="26" width="8.63"/>
  </cols>
  <sheetData>
    <row r="1" ht="26.25" customHeight="1">
      <c r="A1" s="1"/>
      <c r="B1" s="2" t="s">
        <v>0</v>
      </c>
      <c r="C1" s="3"/>
      <c r="D1" s="4"/>
      <c r="E1" s="5" t="s">
        <v>1</v>
      </c>
      <c r="F1" s="4"/>
      <c r="G1" s="6"/>
      <c r="H1" s="7"/>
      <c r="I1" s="7"/>
      <c r="J1" s="7"/>
      <c r="K1" s="7"/>
      <c r="L1" s="8"/>
      <c r="M1" s="9" t="s">
        <v>2</v>
      </c>
      <c r="N1" s="4"/>
      <c r="O1" s="3"/>
      <c r="P1" s="8"/>
      <c r="Q1" s="10" t="s">
        <v>3</v>
      </c>
      <c r="R1" s="4"/>
      <c r="S1" s="3"/>
      <c r="T1" s="8"/>
      <c r="U1" s="11" t="s">
        <v>4</v>
      </c>
      <c r="V1" s="12"/>
      <c r="W1" s="13"/>
      <c r="X1" s="14"/>
      <c r="Y1" s="14"/>
      <c r="Z1" s="14"/>
    </row>
    <row r="2" ht="18.75" customHeight="1">
      <c r="A2" s="1"/>
      <c r="B2" s="15"/>
      <c r="C2" s="16" t="s">
        <v>5</v>
      </c>
      <c r="D2" s="17"/>
      <c r="E2" s="18"/>
      <c r="F2" s="19"/>
      <c r="G2" s="20" t="s">
        <v>5</v>
      </c>
      <c r="H2" s="21"/>
      <c r="I2" s="22"/>
      <c r="J2" s="23"/>
      <c r="K2" s="24" t="s">
        <v>5</v>
      </c>
      <c r="L2" s="21"/>
      <c r="M2" s="25"/>
      <c r="N2" s="23"/>
      <c r="O2" s="20" t="s">
        <v>5</v>
      </c>
      <c r="P2" s="21"/>
      <c r="Q2" s="22"/>
      <c r="R2" s="23"/>
      <c r="S2" s="16" t="s">
        <v>5</v>
      </c>
      <c r="T2" s="17"/>
      <c r="U2" s="25"/>
      <c r="V2" s="26"/>
      <c r="W2" s="14"/>
      <c r="X2" s="14"/>
      <c r="Y2" s="14"/>
      <c r="Z2" s="14"/>
    </row>
    <row r="3" ht="18.75" customHeight="1">
      <c r="A3" s="1"/>
      <c r="B3" s="27"/>
      <c r="C3" s="28" t="s">
        <v>6</v>
      </c>
      <c r="D3" s="29"/>
      <c r="E3" s="30"/>
      <c r="F3" s="31"/>
      <c r="G3" s="32" t="s">
        <v>6</v>
      </c>
      <c r="H3" s="29"/>
      <c r="I3" s="33"/>
      <c r="J3" s="31"/>
      <c r="K3" s="28" t="s">
        <v>6</v>
      </c>
      <c r="L3" s="29"/>
      <c r="M3" s="34"/>
      <c r="N3" s="31"/>
      <c r="O3" s="32" t="s">
        <v>6</v>
      </c>
      <c r="P3" s="29"/>
      <c r="Q3" s="33"/>
      <c r="R3" s="31"/>
      <c r="S3" s="28" t="s">
        <v>6</v>
      </c>
      <c r="T3" s="29"/>
      <c r="U3" s="34"/>
      <c r="V3" s="35"/>
      <c r="W3" s="14"/>
      <c r="X3" s="14"/>
      <c r="Y3" s="14"/>
      <c r="Z3" s="14"/>
    </row>
    <row r="4" ht="18.75" customHeight="1">
      <c r="A4" s="1"/>
      <c r="B4" s="27"/>
      <c r="C4" s="28" t="s">
        <v>7</v>
      </c>
      <c r="D4" s="29"/>
      <c r="E4" s="30"/>
      <c r="F4" s="31"/>
      <c r="G4" s="32" t="s">
        <v>7</v>
      </c>
      <c r="H4" s="29"/>
      <c r="I4" s="33"/>
      <c r="J4" s="31"/>
      <c r="K4" s="28" t="s">
        <v>7</v>
      </c>
      <c r="L4" s="29"/>
      <c r="M4" s="34"/>
      <c r="N4" s="31"/>
      <c r="O4" s="32" t="s">
        <v>7</v>
      </c>
      <c r="P4" s="29"/>
      <c r="Q4" s="33"/>
      <c r="R4" s="31"/>
      <c r="S4" s="28" t="s">
        <v>7</v>
      </c>
      <c r="T4" s="29"/>
      <c r="U4" s="34"/>
      <c r="V4" s="35"/>
      <c r="W4" s="14"/>
      <c r="X4" s="14"/>
      <c r="Y4" s="14"/>
      <c r="Z4" s="14"/>
    </row>
    <row r="5" ht="18.75" customHeight="1">
      <c r="A5" s="1"/>
      <c r="B5" s="36"/>
      <c r="C5" s="28" t="s">
        <v>8</v>
      </c>
      <c r="D5" s="29"/>
      <c r="E5" s="30"/>
      <c r="F5" s="31"/>
      <c r="G5" s="32" t="s">
        <v>8</v>
      </c>
      <c r="H5" s="29"/>
      <c r="I5" s="37"/>
      <c r="J5" s="31"/>
      <c r="K5" s="28" t="s">
        <v>8</v>
      </c>
      <c r="L5" s="29"/>
      <c r="M5" s="30"/>
      <c r="N5" s="31"/>
      <c r="O5" s="32" t="s">
        <v>8</v>
      </c>
      <c r="P5" s="29"/>
      <c r="Q5" s="37"/>
      <c r="R5" s="31"/>
      <c r="S5" s="28" t="s">
        <v>8</v>
      </c>
      <c r="T5" s="29"/>
      <c r="U5" s="30"/>
      <c r="V5" s="35"/>
      <c r="W5" s="14"/>
      <c r="X5" s="14"/>
      <c r="Y5" s="14"/>
      <c r="Z5" s="14"/>
    </row>
    <row r="6" ht="18.75" customHeight="1">
      <c r="A6" s="1"/>
      <c r="B6" s="38"/>
      <c r="C6" s="39" t="s">
        <v>9</v>
      </c>
      <c r="D6" s="29"/>
      <c r="E6" s="40"/>
      <c r="F6" s="41"/>
      <c r="G6" s="42" t="s">
        <v>9</v>
      </c>
      <c r="H6" s="29"/>
      <c r="I6" s="43"/>
      <c r="J6" s="44"/>
      <c r="K6" s="39" t="s">
        <v>9</v>
      </c>
      <c r="L6" s="29"/>
      <c r="M6" s="40"/>
      <c r="N6" s="41"/>
      <c r="O6" s="42" t="s">
        <v>9</v>
      </c>
      <c r="P6" s="29"/>
      <c r="Q6" s="43"/>
      <c r="R6" s="44"/>
      <c r="S6" s="39" t="s">
        <v>9</v>
      </c>
      <c r="T6" s="29"/>
      <c r="U6" s="40"/>
      <c r="V6" s="45"/>
      <c r="W6" s="14"/>
      <c r="X6" s="14"/>
      <c r="Y6" s="14"/>
      <c r="Z6" s="14"/>
    </row>
    <row r="7" ht="82.5" customHeight="1">
      <c r="A7" s="1"/>
      <c r="B7" s="46" t="s">
        <v>10</v>
      </c>
      <c r="C7" s="47" t="s">
        <v>11</v>
      </c>
      <c r="D7" s="48" t="str">
        <f>"Average "&amp;E5&amp;" Concentration"</f>
        <v>Average  Concentration</v>
      </c>
      <c r="E7" s="48" t="str">
        <f>"Monthly "&amp;E5&amp;" Load"</f>
        <v>Monthly  Load</v>
      </c>
      <c r="F7" s="49" t="str">
        <f>"Cumulative "&amp;E5&amp;" Load"</f>
        <v>Cumulative  Load</v>
      </c>
      <c r="G7" s="50" t="s">
        <v>11</v>
      </c>
      <c r="H7" s="51" t="str">
        <f>"Average "&amp;I5&amp;" Concentration"</f>
        <v>Average  Concentration</v>
      </c>
      <c r="I7" s="51" t="str">
        <f>"Monthly "&amp;I5&amp;" Load"</f>
        <v>Monthly  Load</v>
      </c>
      <c r="J7" s="52" t="str">
        <f>"Cumulative "&amp;I5&amp;" Load"</f>
        <v>Cumulative  Load</v>
      </c>
      <c r="K7" s="47" t="s">
        <v>11</v>
      </c>
      <c r="L7" s="48" t="str">
        <f>"Average "&amp;M5&amp;" Concentration"</f>
        <v>Average  Concentration</v>
      </c>
      <c r="M7" s="48" t="str">
        <f>"Monthly "&amp;M5&amp;" Load"</f>
        <v>Monthly  Load</v>
      </c>
      <c r="N7" s="49" t="str">
        <f>"Cumulative "&amp;M5&amp;" Load"</f>
        <v>Cumulative  Load</v>
      </c>
      <c r="O7" s="50" t="s">
        <v>11</v>
      </c>
      <c r="P7" s="51" t="str">
        <f>"Average "&amp;Q5&amp;" Concentration"</f>
        <v>Average  Concentration</v>
      </c>
      <c r="Q7" s="51" t="str">
        <f>"Monthly "&amp;Q5&amp;" Load"</f>
        <v>Monthly  Load</v>
      </c>
      <c r="R7" s="52" t="str">
        <f>"Cumulative "&amp;Q5&amp;" Load"</f>
        <v>Cumulative  Load</v>
      </c>
      <c r="S7" s="47" t="s">
        <v>11</v>
      </c>
      <c r="T7" s="48" t="str">
        <f>"Average "&amp;U5&amp;" Concentration"</f>
        <v>Average  Concentration</v>
      </c>
      <c r="U7" s="48" t="str">
        <f>"Monthly "&amp;U5&amp;" Load"</f>
        <v>Monthly  Load</v>
      </c>
      <c r="V7" s="53" t="str">
        <f>"Cumulative "&amp;U5&amp;" Load"</f>
        <v>Cumulative  Load</v>
      </c>
      <c r="W7" s="14"/>
      <c r="X7" s="14"/>
      <c r="Y7" s="14"/>
      <c r="Z7" s="14"/>
    </row>
    <row r="8" ht="15.75" customHeight="1">
      <c r="A8" s="1"/>
      <c r="B8" s="54" t="s">
        <v>12</v>
      </c>
      <c r="C8" s="55" t="s">
        <v>13</v>
      </c>
      <c r="D8" s="56" t="s">
        <v>14</v>
      </c>
      <c r="E8" s="56" t="s">
        <v>15</v>
      </c>
      <c r="F8" s="56" t="s">
        <v>15</v>
      </c>
      <c r="G8" s="57" t="s">
        <v>13</v>
      </c>
      <c r="H8" s="58" t="s">
        <v>14</v>
      </c>
      <c r="I8" s="58" t="s">
        <v>15</v>
      </c>
      <c r="J8" s="58" t="s">
        <v>15</v>
      </c>
      <c r="K8" s="55" t="s">
        <v>13</v>
      </c>
      <c r="L8" s="56" t="s">
        <v>14</v>
      </c>
      <c r="M8" s="56" t="s">
        <v>15</v>
      </c>
      <c r="N8" s="56" t="s">
        <v>15</v>
      </c>
      <c r="O8" s="57" t="s">
        <v>13</v>
      </c>
      <c r="P8" s="58" t="s">
        <v>14</v>
      </c>
      <c r="Q8" s="58" t="s">
        <v>15</v>
      </c>
      <c r="R8" s="58" t="s">
        <v>15</v>
      </c>
      <c r="S8" s="55" t="s">
        <v>13</v>
      </c>
      <c r="T8" s="56" t="s">
        <v>14</v>
      </c>
      <c r="U8" s="56" t="s">
        <v>15</v>
      </c>
      <c r="V8" s="59" t="s">
        <v>15</v>
      </c>
      <c r="W8" s="14"/>
      <c r="X8" s="14"/>
      <c r="Y8" s="14"/>
      <c r="Z8" s="14"/>
    </row>
    <row r="9" ht="15.0" customHeight="1">
      <c r="A9" s="1">
        <f t="shared" ref="A9:A19" si="1">A10-1</f>
        <v>-11</v>
      </c>
      <c r="B9" s="60" t="str">
        <f>IF((ISBLANK(S1)), " ", IF(A9=1,"January", IF(A9=2,"February", IF(A9=3,"March", IF(A9=4,"April", IF(A9=5,"May", IF(A9=6,"June", IF(A9=7,"July", IF(A9=8,"August", IF(A9=9,"September", IF(A9=10,"October", IF(A9=11,"November", IF(A9=12,"December", IF(A9=13,"January", IF(A9=14,"February", IF(A9=15,"March", IF(A9=16,"April", IF(A9=17,"May", IF(A9=18,"June", IF(A9=19,"July", IF(A9=20,"August", IF(A9=21,"September", IF(A9=22,"October", IF(A9=23,"November"))))))))))))))))))))))))</f>
        <v> </v>
      </c>
      <c r="C9" s="61"/>
      <c r="D9" s="62"/>
      <c r="E9" s="63" t="str">
        <f t="shared" ref="E9:E20" si="2">IF(ISBLANK(C9), " ", (D9*C9*8.34/1000000)/E$3)</f>
        <v> </v>
      </c>
      <c r="F9" s="64" t="str">
        <f>IF(ISBLANK(C9), " ", SUM(E$9))</f>
        <v> </v>
      </c>
      <c r="G9" s="65"/>
      <c r="H9" s="66"/>
      <c r="I9" s="67" t="str">
        <f t="shared" ref="I9:I20" si="3">IF(ISBLANK(G9), " ", (H9*G9*8.34/1000000)/I$3)</f>
        <v> </v>
      </c>
      <c r="J9" s="68" t="str">
        <f>IF(ISBLANK(G9), " ", SUM(I$9))</f>
        <v> </v>
      </c>
      <c r="K9" s="61"/>
      <c r="L9" s="62"/>
      <c r="M9" s="63" t="str">
        <f t="shared" ref="M9:M20" si="4">IF(ISBLANK(K9), " ", (L9*K9*8.34/1000000)/M$3)</f>
        <v> </v>
      </c>
      <c r="N9" s="64" t="str">
        <f>IF(ISBLANK(K9), " ", SUM(M$9))</f>
        <v> </v>
      </c>
      <c r="O9" s="65"/>
      <c r="P9" s="66"/>
      <c r="Q9" s="67" t="str">
        <f t="shared" ref="Q9:Q20" si="5">IF(ISBLANK(O9), " ", (P9*O9*8.34/1000000)/Q$3)</f>
        <v> </v>
      </c>
      <c r="R9" s="68" t="str">
        <f>IF(ISBLANK(O9), " ", SUM(Q$9))</f>
        <v> </v>
      </c>
      <c r="S9" s="61"/>
      <c r="T9" s="69"/>
      <c r="U9" s="63" t="str">
        <f t="shared" ref="U9:U20" si="6">IF(ISBLANK(S9), " ", (T9*S9*8.34/1000000)/U$3)</f>
        <v> </v>
      </c>
      <c r="V9" s="70" t="str">
        <f>IF(ISBLANK(S9), " ", SUM(U$9))</f>
        <v> </v>
      </c>
      <c r="W9" s="14"/>
      <c r="X9" s="14"/>
      <c r="Y9" s="14"/>
      <c r="Z9" s="14"/>
    </row>
    <row r="10" ht="15.0" customHeight="1">
      <c r="A10" s="1">
        <f t="shared" si="1"/>
        <v>-10</v>
      </c>
      <c r="B10" s="60" t="str">
        <f>IF((ISBLANK(S1)), " ", IF(A10=2,"February", IF(A10=3,"March", IF(A10=4,"April", IF(A10=5,"May", IF(A10=6,"June", IF(A10=7,"July", IF(A10=8,"August", IF(A10=9,"September", IF(A10=10,"October", IF(A10=11,"November", IF(A10=12,"December", IF(A10=13,"January", IF(A10=14,"February", IF(A10=15,"March", IF(A10=16,"April", IF(A10=17,"May", IF(A10=18,"June", IF(A10=19,"July", IF(A10=20,"August", IF(A10=21,"September", IF(A10=22,"October", IF(A10=23,"November")))))))))))))))))))))))</f>
        <v> </v>
      </c>
      <c r="C10" s="71"/>
      <c r="D10" s="72"/>
      <c r="E10" s="73" t="str">
        <f t="shared" si="2"/>
        <v> </v>
      </c>
      <c r="F10" s="74" t="str">
        <f>IF(ISBLANK(C10), " ", SUM(E$9:E$10))</f>
        <v> </v>
      </c>
      <c r="G10" s="75"/>
      <c r="H10" s="76"/>
      <c r="I10" s="77" t="str">
        <f t="shared" si="3"/>
        <v> </v>
      </c>
      <c r="J10" s="78" t="str">
        <f>IF(ISBLANK(G10), " ", SUM(I$9:I$10))</f>
        <v> </v>
      </c>
      <c r="K10" s="79"/>
      <c r="L10" s="72"/>
      <c r="M10" s="73" t="str">
        <f t="shared" si="4"/>
        <v> </v>
      </c>
      <c r="N10" s="74" t="str">
        <f>IF(ISBLANK(K10), " ", SUM(M$9:M$10))</f>
        <v> </v>
      </c>
      <c r="O10" s="75"/>
      <c r="P10" s="76"/>
      <c r="Q10" s="77" t="str">
        <f t="shared" si="5"/>
        <v> </v>
      </c>
      <c r="R10" s="78" t="str">
        <f>IF(ISBLANK(O10), " ", SUM(Q$9:Q$10))</f>
        <v> </v>
      </c>
      <c r="S10" s="79"/>
      <c r="T10" s="80"/>
      <c r="U10" s="73" t="str">
        <f t="shared" si="6"/>
        <v> </v>
      </c>
      <c r="V10" s="81" t="str">
        <f>IF(ISBLANK(S10), " ", SUM(U$9:U$10))</f>
        <v> </v>
      </c>
      <c r="W10" s="14"/>
      <c r="X10" s="14"/>
      <c r="Y10" s="14"/>
      <c r="Z10" s="14"/>
    </row>
    <row r="11" ht="15.0" customHeight="1">
      <c r="A11" s="1">
        <f t="shared" si="1"/>
        <v>-9</v>
      </c>
      <c r="B11" s="60" t="str">
        <f>IF((ISBLANK(S1)), " ", IF(A11=2,"February", IF(A11=3,"March", IF(A11=4,"April", IF(A11=5,"May", IF(A11=6,"June", IF(A11=7,"July", IF(A11=8,"August", IF(A11=9,"September", IF(A11=10,"October", IF(A11=11,"November", IF(A11=12,"December", IF(A11=13,"January", IF(A11=14,"February", IF(A11=15,"March", IF(A11=16,"April", IF(A11=17,"May", IF(A11=18,"June", IF(A11=19,"July", IF(A11=20,"August", IF(A11=21,"September", IF(A11=22,"October", IF(A11=23,"November")))))))))))))))))))))))</f>
        <v> </v>
      </c>
      <c r="C11" s="71"/>
      <c r="D11" s="72"/>
      <c r="E11" s="73" t="str">
        <f t="shared" si="2"/>
        <v> </v>
      </c>
      <c r="F11" s="74" t="str">
        <f>IF(ISBLANK(C11), " ", SUM(E$9:E$11))</f>
        <v> </v>
      </c>
      <c r="G11" s="75"/>
      <c r="H11" s="76"/>
      <c r="I11" s="77" t="str">
        <f t="shared" si="3"/>
        <v> </v>
      </c>
      <c r="J11" s="78" t="str">
        <f>IF(ISBLANK(G11), " ", SUM(I$9:I$11))</f>
        <v> </v>
      </c>
      <c r="K11" s="79"/>
      <c r="L11" s="72"/>
      <c r="M11" s="73" t="str">
        <f t="shared" si="4"/>
        <v> </v>
      </c>
      <c r="N11" s="74" t="str">
        <f>IF(ISBLANK(K11), " ", SUM(M$9:M$11))</f>
        <v> </v>
      </c>
      <c r="O11" s="75"/>
      <c r="P11" s="76"/>
      <c r="Q11" s="77" t="str">
        <f t="shared" si="5"/>
        <v> </v>
      </c>
      <c r="R11" s="78" t="str">
        <f>IF(ISBLANK(O11), " ", SUM(Q$9:Q$11))</f>
        <v> </v>
      </c>
      <c r="S11" s="79"/>
      <c r="T11" s="80"/>
      <c r="U11" s="73" t="str">
        <f t="shared" si="6"/>
        <v> </v>
      </c>
      <c r="V11" s="81" t="str">
        <f>IF(ISBLANK(S11), " ", SUM(U$9:U$11))</f>
        <v> </v>
      </c>
      <c r="W11" s="14"/>
      <c r="X11" s="14"/>
      <c r="Y11" s="14"/>
      <c r="Z11" s="14"/>
    </row>
    <row r="12" ht="15.0" customHeight="1">
      <c r="A12" s="1">
        <f t="shared" si="1"/>
        <v>-8</v>
      </c>
      <c r="B12" s="60" t="str">
        <f>IF((ISBLANK(S1)), " ", IF(A12=2,"February", IF(A12=3,"March", IF(A12=4,"April", IF(A12=5,"May", IF(A12=6,"June", IF(A12=7,"July", IF(A12=8,"August", IF(A12=9,"September", IF(A12=10,"October", IF(A12=11,"November", IF(A12=12,"December", IF(A12=13,"January", IF(A12=14,"February", IF(A12=15,"March", IF(A12=16,"April", IF(A12=17,"May", IF(A12=18,"June", IF(A12=19,"July", IF(A12=20,"August", IF(A12=21,"September", IF(A12=22,"October", IF(A12=23,"November")))))))))))))))))))))))</f>
        <v> </v>
      </c>
      <c r="C12" s="71"/>
      <c r="D12" s="72"/>
      <c r="E12" s="73" t="str">
        <f t="shared" si="2"/>
        <v> </v>
      </c>
      <c r="F12" s="74" t="str">
        <f>IF(ISBLANK(C12), " ", SUM(E$9:E$12))</f>
        <v> </v>
      </c>
      <c r="G12" s="75"/>
      <c r="H12" s="76"/>
      <c r="I12" s="77" t="str">
        <f t="shared" si="3"/>
        <v> </v>
      </c>
      <c r="J12" s="78" t="str">
        <f>IF(ISBLANK(G12), " ", SUM(I$9:I$12))</f>
        <v> </v>
      </c>
      <c r="K12" s="79"/>
      <c r="L12" s="72"/>
      <c r="M12" s="73" t="str">
        <f t="shared" si="4"/>
        <v> </v>
      </c>
      <c r="N12" s="74" t="str">
        <f>IF(ISBLANK(K12), " ", SUM(M$9:M$12))</f>
        <v> </v>
      </c>
      <c r="O12" s="75"/>
      <c r="P12" s="76"/>
      <c r="Q12" s="77" t="str">
        <f t="shared" si="5"/>
        <v> </v>
      </c>
      <c r="R12" s="78" t="str">
        <f>IF(ISBLANK(O12), " ", SUM(Q$9:Q$12))</f>
        <v> </v>
      </c>
      <c r="S12" s="79"/>
      <c r="T12" s="80"/>
      <c r="U12" s="73" t="str">
        <f t="shared" si="6"/>
        <v> </v>
      </c>
      <c r="V12" s="81" t="str">
        <f>IF(ISBLANK(S12), " ", SUM(U$9:U$12))</f>
        <v> </v>
      </c>
      <c r="W12" s="14"/>
      <c r="X12" s="14"/>
      <c r="Y12" s="14"/>
      <c r="Z12" s="14"/>
    </row>
    <row r="13" ht="15.0" customHeight="1">
      <c r="A13" s="1">
        <f t="shared" si="1"/>
        <v>-7</v>
      </c>
      <c r="B13" s="60" t="str">
        <f>IF((ISBLANK(S1)), " ", IF(A13=2,"February", IF(A13=3,"March", IF(A13=4,"April", IF(A13=5,"May", IF(A13=6,"June", IF(A13=7,"July", IF(A13=8,"August", IF(A13=9,"September", IF(A13=10,"October", IF(A13=11,"November", IF(A13=12,"December", IF(A13=13,"January", IF(A13=14,"February", IF(A13=15,"March", IF(A13=16,"April", IF(A13=17,"May", IF(A13=18,"June", IF(A13=19,"July", IF(A13=20,"August", IF(A13=21,"September", IF(A13=22,"October", IF(A13=23,"November")))))))))))))))))))))))</f>
        <v> </v>
      </c>
      <c r="C13" s="71"/>
      <c r="D13" s="72"/>
      <c r="E13" s="73" t="str">
        <f t="shared" si="2"/>
        <v> </v>
      </c>
      <c r="F13" s="74" t="str">
        <f>IF(ISBLANK(C13), " ", SUM(E$9:E$13))</f>
        <v> </v>
      </c>
      <c r="G13" s="75"/>
      <c r="H13" s="76"/>
      <c r="I13" s="77" t="str">
        <f t="shared" si="3"/>
        <v> </v>
      </c>
      <c r="J13" s="78" t="str">
        <f>IF(ISBLANK(G13), " ", SUM(I$9:I$13))</f>
        <v> </v>
      </c>
      <c r="K13" s="79"/>
      <c r="L13" s="72"/>
      <c r="M13" s="73" t="str">
        <f t="shared" si="4"/>
        <v> </v>
      </c>
      <c r="N13" s="74" t="str">
        <f>IF(ISBLANK(K13), " ", SUM(M$9:M$13))</f>
        <v> </v>
      </c>
      <c r="O13" s="75"/>
      <c r="P13" s="76"/>
      <c r="Q13" s="77" t="str">
        <f t="shared" si="5"/>
        <v> </v>
      </c>
      <c r="R13" s="78" t="str">
        <f>IF(ISBLANK(O13), " ", SUM(Q$9:Q$13))</f>
        <v> </v>
      </c>
      <c r="S13" s="79"/>
      <c r="T13" s="80"/>
      <c r="U13" s="73" t="str">
        <f t="shared" si="6"/>
        <v> </v>
      </c>
      <c r="V13" s="81" t="str">
        <f>IF(ISBLANK(S13), " ", SUM(U$9:U$13))</f>
        <v> </v>
      </c>
      <c r="W13" s="14"/>
      <c r="X13" s="14"/>
      <c r="Y13" s="14"/>
      <c r="Z13" s="14"/>
    </row>
    <row r="14" ht="15.0" customHeight="1">
      <c r="A14" s="1">
        <f t="shared" si="1"/>
        <v>-6</v>
      </c>
      <c r="B14" s="60" t="str">
        <f>IF((ISBLANK(S1)), " ", IF(A14=2,"February", IF(A14=3,"March", IF(A14=4,"April", IF(A14=5,"May", IF(A14=6,"June", IF(A14=7,"July", IF(A14=8,"August", IF(A14=9,"September", IF(A14=10,"October", IF(A14=11,"November", IF(A14=12,"December", IF(A14=13,"January", IF(A14=14,"February", IF(A14=15,"March", IF(A14=16,"April", IF(A14=17,"May", IF(A14=18,"June", IF(A14=19,"July", IF(A14=20,"August", IF(A14=21,"September", IF(A14=22,"October", IF(A14=23,"November")))))))))))))))))))))))</f>
        <v> </v>
      </c>
      <c r="C14" s="71"/>
      <c r="D14" s="72"/>
      <c r="E14" s="73" t="str">
        <f t="shared" si="2"/>
        <v> </v>
      </c>
      <c r="F14" s="74" t="str">
        <f>IF(ISBLANK(C14), " ", SUM(E$9:E$14))</f>
        <v> </v>
      </c>
      <c r="G14" s="75"/>
      <c r="H14" s="76"/>
      <c r="I14" s="77" t="str">
        <f t="shared" si="3"/>
        <v> </v>
      </c>
      <c r="J14" s="78" t="str">
        <f>IF(ISBLANK(G14), " ", SUM(I$9:I$14))</f>
        <v> </v>
      </c>
      <c r="K14" s="79"/>
      <c r="L14" s="72"/>
      <c r="M14" s="73" t="str">
        <f t="shared" si="4"/>
        <v> </v>
      </c>
      <c r="N14" s="74" t="str">
        <f>IF(ISBLANK(K14), " ", SUM(M$9:M$14))</f>
        <v> </v>
      </c>
      <c r="O14" s="75"/>
      <c r="P14" s="76"/>
      <c r="Q14" s="77" t="str">
        <f t="shared" si="5"/>
        <v> </v>
      </c>
      <c r="R14" s="78" t="str">
        <f>IF(ISBLANK(O14), " ", SUM(Q$9:Q$14))</f>
        <v> </v>
      </c>
      <c r="S14" s="79"/>
      <c r="T14" s="80"/>
      <c r="U14" s="73" t="str">
        <f t="shared" si="6"/>
        <v> </v>
      </c>
      <c r="V14" s="81" t="str">
        <f>IF(ISBLANK(S14), " ", SUM(U$9:U$14))</f>
        <v> </v>
      </c>
      <c r="W14" s="14"/>
      <c r="X14" s="14"/>
      <c r="Y14" s="14"/>
      <c r="Z14" s="14"/>
    </row>
    <row r="15" ht="15.0" customHeight="1">
      <c r="A15" s="1">
        <f t="shared" si="1"/>
        <v>-5</v>
      </c>
      <c r="B15" s="60" t="str">
        <f>IF((ISBLANK(S1)), " ", IF(A15=2,"February", IF(A15=3,"March", IF(A15=4,"April", IF(A15=5,"May", IF(A15=6,"June", IF(A15=7,"July", IF(A15=8,"August", IF(A15=9,"September", IF(A15=10,"October", IF(A15=11,"November", IF(A15=12,"December", IF(A15=13,"January", IF(A15=14,"February", IF(A15=15,"March", IF(A15=16,"April", IF(A15=17,"May", IF(A15=18,"June", IF(A15=19,"July", IF(A15=20,"August", IF(A15=21,"September", IF(A15=22,"October", IF(A15=23,"November")))))))))))))))))))))))</f>
        <v> </v>
      </c>
      <c r="C15" s="71"/>
      <c r="D15" s="72"/>
      <c r="E15" s="73" t="str">
        <f t="shared" si="2"/>
        <v> </v>
      </c>
      <c r="F15" s="74" t="str">
        <f>IF(ISBLANK(C15), " ", SUM(E$9:E$15))</f>
        <v> </v>
      </c>
      <c r="G15" s="75"/>
      <c r="H15" s="76"/>
      <c r="I15" s="77" t="str">
        <f t="shared" si="3"/>
        <v> </v>
      </c>
      <c r="J15" s="78" t="str">
        <f>IF(ISBLANK(G15), " ", SUM(I$9:I$15))</f>
        <v> </v>
      </c>
      <c r="K15" s="79"/>
      <c r="L15" s="72"/>
      <c r="M15" s="73" t="str">
        <f t="shared" si="4"/>
        <v> </v>
      </c>
      <c r="N15" s="74" t="str">
        <f>IF(ISBLANK(K15), " ", SUM(M$9:M$15))</f>
        <v> </v>
      </c>
      <c r="O15" s="75"/>
      <c r="P15" s="76"/>
      <c r="Q15" s="77" t="str">
        <f t="shared" si="5"/>
        <v> </v>
      </c>
      <c r="R15" s="78" t="str">
        <f>IF(ISBLANK(O15), " ", SUM(Q$9:Q$15))</f>
        <v> </v>
      </c>
      <c r="S15" s="79"/>
      <c r="T15" s="80"/>
      <c r="U15" s="73" t="str">
        <f t="shared" si="6"/>
        <v> </v>
      </c>
      <c r="V15" s="81" t="str">
        <f>IF(ISBLANK(S15), " ", SUM(U$9:U$15))</f>
        <v> </v>
      </c>
      <c r="W15" s="14"/>
      <c r="X15" s="14"/>
      <c r="Y15" s="14"/>
      <c r="Z15" s="14"/>
    </row>
    <row r="16" ht="15.0" customHeight="1">
      <c r="A16" s="1">
        <f t="shared" si="1"/>
        <v>-4</v>
      </c>
      <c r="B16" s="60" t="str">
        <f>IF((ISBLANK(S1)), " ", IF(A16=2,"February", IF(A16=3,"March", IF(A16=4,"April", IF(A16=5,"May", IF(A16=6,"June", IF(A16=7,"July", IF(A16=8,"August", IF(A16=9,"September", IF(A16=10,"October", IF(A16=11,"November", IF(A16=12,"December", IF(A16=13,"January", IF(A16=14,"February", IF(A16=15,"March", IF(A16=16,"April", IF(A16=17,"May", IF(A16=18,"June", IF(A16=19,"July", IF(A16=20,"August", IF(A16=21,"September", IF(A16=22,"October", IF(A16=23,"November")))))))))))))))))))))))</f>
        <v> </v>
      </c>
      <c r="C16" s="71"/>
      <c r="D16" s="72"/>
      <c r="E16" s="73" t="str">
        <f t="shared" si="2"/>
        <v> </v>
      </c>
      <c r="F16" s="74" t="str">
        <f>IF(ISBLANK(C16), " ", SUM(E$9:E$16))</f>
        <v> </v>
      </c>
      <c r="G16" s="75"/>
      <c r="H16" s="76"/>
      <c r="I16" s="77" t="str">
        <f t="shared" si="3"/>
        <v> </v>
      </c>
      <c r="J16" s="78" t="str">
        <f>IF(ISBLANK(G16), " ", SUM(I$9:I$16))</f>
        <v> </v>
      </c>
      <c r="K16" s="79"/>
      <c r="L16" s="72"/>
      <c r="M16" s="73" t="str">
        <f t="shared" si="4"/>
        <v> </v>
      </c>
      <c r="N16" s="74" t="str">
        <f>IF(ISBLANK(K16), " ", SUM(M$9:M$16))</f>
        <v> </v>
      </c>
      <c r="O16" s="75"/>
      <c r="P16" s="76"/>
      <c r="Q16" s="77" t="str">
        <f t="shared" si="5"/>
        <v> </v>
      </c>
      <c r="R16" s="78" t="str">
        <f>IF(ISBLANK(O16), " ", SUM(Q$9:Q$16))</f>
        <v> </v>
      </c>
      <c r="S16" s="79"/>
      <c r="T16" s="80"/>
      <c r="U16" s="73" t="str">
        <f t="shared" si="6"/>
        <v> </v>
      </c>
      <c r="V16" s="81" t="str">
        <f>IF(ISBLANK(S16), " ", SUM(U$9:U$16))</f>
        <v> </v>
      </c>
      <c r="W16" s="14"/>
      <c r="X16" s="14"/>
      <c r="Y16" s="14"/>
      <c r="Z16" s="14"/>
    </row>
    <row r="17" ht="15.0" customHeight="1">
      <c r="A17" s="1">
        <f t="shared" si="1"/>
        <v>-3</v>
      </c>
      <c r="B17" s="60" t="str">
        <f>IF((ISBLANK(S1)), " ", IF(A17=2,"February", IF(A17=3,"March", IF(A17=4,"April", IF(A17=5,"May", IF(A17=6,"June", IF(A17=7,"July", IF(A17=8,"August", IF(A17=9,"September", IF(A17=10,"October", IF(A17=11,"November", IF(A17=12,"December", IF(A17=13,"January", IF(A17=14,"February", IF(A17=15,"March", IF(A17=16,"April", IF(A17=17,"May", IF(A17=18,"June", IF(A17=19,"July", IF(A17=20,"August", IF(A17=21,"September", IF(A17=22,"October", IF(A17=23,"November")))))))))))))))))))))))</f>
        <v> </v>
      </c>
      <c r="C17" s="71"/>
      <c r="D17" s="72"/>
      <c r="E17" s="73" t="str">
        <f t="shared" si="2"/>
        <v> </v>
      </c>
      <c r="F17" s="74" t="str">
        <f>IF(ISBLANK(C17), " ", SUM(E$9:E$17))</f>
        <v> </v>
      </c>
      <c r="G17" s="75"/>
      <c r="H17" s="76"/>
      <c r="I17" s="77" t="str">
        <f t="shared" si="3"/>
        <v> </v>
      </c>
      <c r="J17" s="78" t="str">
        <f>IF(ISBLANK(G17), " ", SUM(I$9:I$17))</f>
        <v> </v>
      </c>
      <c r="K17" s="79"/>
      <c r="L17" s="72"/>
      <c r="M17" s="73" t="str">
        <f t="shared" si="4"/>
        <v> </v>
      </c>
      <c r="N17" s="74" t="str">
        <f>IF(ISBLANK(K17), " ", SUM(M$9:M$17))</f>
        <v> </v>
      </c>
      <c r="O17" s="75"/>
      <c r="P17" s="76"/>
      <c r="Q17" s="77" t="str">
        <f t="shared" si="5"/>
        <v> </v>
      </c>
      <c r="R17" s="78" t="str">
        <f>IF(ISBLANK(O17), " ", SUM(Q$9:Q$17))</f>
        <v> </v>
      </c>
      <c r="S17" s="79"/>
      <c r="T17" s="80"/>
      <c r="U17" s="73" t="str">
        <f t="shared" si="6"/>
        <v> </v>
      </c>
      <c r="V17" s="81" t="str">
        <f>IF(ISBLANK(S17), " ", SUM(U$9:U$17))</f>
        <v> </v>
      </c>
      <c r="W17" s="14"/>
      <c r="X17" s="14"/>
      <c r="Y17" s="14"/>
      <c r="Z17" s="14"/>
    </row>
    <row r="18" ht="15.0" customHeight="1">
      <c r="A18" s="1">
        <f t="shared" si="1"/>
        <v>-2</v>
      </c>
      <c r="B18" s="60" t="str">
        <f>IF((ISBLANK(S1)), " ", IF(A18=2,"February", IF(A18=3,"March", IF(A18=4,"April", IF(A18=5,"May", IF(A18=6,"June", IF(A18=7,"July", IF(A18=8,"August", IF(A18=9,"September", IF(A18=10,"October", IF(A18=11,"November", IF(A18=12,"December", IF(A18=13,"January", IF(A18=14,"February", IF(A18=15,"March", IF(A18=16,"April", IF(A18=17,"May", IF(A18=18,"June", IF(A18=19,"July", IF(A18=20,"August", IF(A18=21,"September", IF(A18=22,"October", IF(A18=23,"November")))))))))))))))))))))))</f>
        <v> </v>
      </c>
      <c r="C18" s="71"/>
      <c r="D18" s="72"/>
      <c r="E18" s="73" t="str">
        <f t="shared" si="2"/>
        <v> </v>
      </c>
      <c r="F18" s="74" t="str">
        <f>IF(ISBLANK(C18), " ", SUM(E$9:E$18))</f>
        <v> </v>
      </c>
      <c r="G18" s="75"/>
      <c r="H18" s="76"/>
      <c r="I18" s="77" t="str">
        <f t="shared" si="3"/>
        <v> </v>
      </c>
      <c r="J18" s="78" t="str">
        <f>IF(ISBLANK(G18), " ", SUM(I$9:I$18))</f>
        <v> </v>
      </c>
      <c r="K18" s="79"/>
      <c r="L18" s="72"/>
      <c r="M18" s="73" t="str">
        <f t="shared" si="4"/>
        <v> </v>
      </c>
      <c r="N18" s="74" t="str">
        <f>IF(ISBLANK(K18), " ", SUM(M$9:M$18))</f>
        <v> </v>
      </c>
      <c r="O18" s="75"/>
      <c r="P18" s="76"/>
      <c r="Q18" s="77" t="str">
        <f t="shared" si="5"/>
        <v> </v>
      </c>
      <c r="R18" s="78" t="str">
        <f>IF(ISBLANK(O18), " ", SUM(Q$9:Q$18))</f>
        <v> </v>
      </c>
      <c r="S18" s="79"/>
      <c r="T18" s="80"/>
      <c r="U18" s="73" t="str">
        <f t="shared" si="6"/>
        <v> </v>
      </c>
      <c r="V18" s="81" t="str">
        <f>IF(ISBLANK(S18), " ", SUM(U$9:U$18))</f>
        <v> </v>
      </c>
      <c r="W18" s="14"/>
      <c r="X18" s="14"/>
      <c r="Y18" s="14"/>
      <c r="Z18" s="14"/>
    </row>
    <row r="19" ht="15.0" customHeight="1">
      <c r="A19" s="1">
        <f t="shared" si="1"/>
        <v>-1</v>
      </c>
      <c r="B19" s="60" t="str">
        <f>IF((ISBLANK(S1)), " ", IF(A19=2,"February", IF(A19=3,"March", IF(A19=4,"April", IF(A19=5,"May", IF(A19=6,"June", IF(A19=7,"July", IF(A19=8,"August", IF(A19=9,"September", IF(A19=10,"October", IF(A19=11,"November", IF(A19=12,"December", IF(A19=13,"January", IF(A19=14,"February", IF(A19=15,"March", IF(A19=16,"April", IF(A19=17,"May", IF(A19=18,"June", IF(A19=19,"July", IF(A19=20,"August", IF(A19=21,"September", IF(A19=22,"October", IF(A19=23,"November")))))))))))))))))))))))</f>
        <v> </v>
      </c>
      <c r="C19" s="71"/>
      <c r="D19" s="72"/>
      <c r="E19" s="73" t="str">
        <f t="shared" si="2"/>
        <v> </v>
      </c>
      <c r="F19" s="74" t="str">
        <f>IF(ISBLANK(C19), " ", SUM(E$9:E$19))</f>
        <v> </v>
      </c>
      <c r="G19" s="75"/>
      <c r="H19" s="76"/>
      <c r="I19" s="77" t="str">
        <f t="shared" si="3"/>
        <v> </v>
      </c>
      <c r="J19" s="78" t="str">
        <f>IF(ISBLANK(G19), " ", SUM(I$9:I$19))</f>
        <v> </v>
      </c>
      <c r="K19" s="79"/>
      <c r="L19" s="72"/>
      <c r="M19" s="73" t="str">
        <f t="shared" si="4"/>
        <v> </v>
      </c>
      <c r="N19" s="74" t="str">
        <f>IF(ISBLANK(K19), " ", SUM(M$9:M$19))</f>
        <v> </v>
      </c>
      <c r="O19" s="75"/>
      <c r="P19" s="76"/>
      <c r="Q19" s="77" t="str">
        <f t="shared" si="5"/>
        <v> </v>
      </c>
      <c r="R19" s="78" t="str">
        <f>IF(ISBLANK(O19), " ", SUM(Q$9:Q$19))</f>
        <v> </v>
      </c>
      <c r="S19" s="79"/>
      <c r="T19" s="80"/>
      <c r="U19" s="73" t="str">
        <f t="shared" si="6"/>
        <v> </v>
      </c>
      <c r="V19" s="81" t="str">
        <f>IF(ISBLANK(S19), " ", SUM(U$9:U$19))</f>
        <v> </v>
      </c>
      <c r="W19" s="14"/>
      <c r="X19" s="14"/>
      <c r="Y19" s="14"/>
      <c r="Z19" s="14"/>
    </row>
    <row r="20" ht="15.0" customHeight="1">
      <c r="A20" s="1" t="b">
        <f>IF(B20="January", 13, IF(B20="February", 14, IF(B20="March", 15, IF(B20="April", 16, IF(B20="May", 17, IF(B20="June", 18, IF(B20="July", 19, IF(B20="August", 20, IF(B20="September", 21, IF(B20="October", 22, IF(B20="November", 23, IF(B20="December", 12))))))))))))</f>
        <v>0</v>
      </c>
      <c r="B20" s="82" t="str">
        <f>IF((ISBLANK(S1)), " ", S1)</f>
        <v> </v>
      </c>
      <c r="C20" s="71"/>
      <c r="D20" s="72"/>
      <c r="E20" s="83" t="str">
        <f t="shared" si="2"/>
        <v> </v>
      </c>
      <c r="F20" s="74" t="str">
        <f>IF(ISBLANK(C20), " ", SUM(E$9:E$20))</f>
        <v> </v>
      </c>
      <c r="G20" s="84"/>
      <c r="H20" s="85"/>
      <c r="I20" s="86" t="str">
        <f t="shared" si="3"/>
        <v> </v>
      </c>
      <c r="J20" s="78" t="str">
        <f>IF(ISBLANK(G20), " ", SUM(I$9:I$20))</f>
        <v> </v>
      </c>
      <c r="K20" s="87"/>
      <c r="L20" s="88"/>
      <c r="M20" s="83" t="str">
        <f t="shared" si="4"/>
        <v> </v>
      </c>
      <c r="N20" s="74" t="str">
        <f>IF(ISBLANK(K20), " ", SUM(M$9:M$20))</f>
        <v> </v>
      </c>
      <c r="O20" s="84"/>
      <c r="P20" s="85"/>
      <c r="Q20" s="86" t="str">
        <f t="shared" si="5"/>
        <v> </v>
      </c>
      <c r="R20" s="78" t="str">
        <f>IF(ISBLANK(O20), " ", SUM(Q$9:Q$20))</f>
        <v> </v>
      </c>
      <c r="S20" s="87"/>
      <c r="T20" s="89"/>
      <c r="U20" s="83" t="str">
        <f t="shared" si="6"/>
        <v> </v>
      </c>
      <c r="V20" s="90" t="str">
        <f>IF(ISBLANK(S20), " ", SUM(U$9:U$20))</f>
        <v> </v>
      </c>
      <c r="W20" s="14"/>
      <c r="X20" s="14"/>
      <c r="Y20" s="14"/>
      <c r="Z20" s="14"/>
    </row>
    <row r="21" ht="27.75" customHeight="1">
      <c r="A21" s="1"/>
      <c r="B21" s="91" t="str">
        <f>"12 Month Floating "&amp;E5&amp;" Load (lbs/ac/yr):"</f>
        <v>12 Month Floating  Load (lbs/ac/yr):</v>
      </c>
      <c r="C21" s="92"/>
      <c r="D21" s="17"/>
      <c r="E21" s="93" t="str">
        <f>IF(ISBLANK($S$1), " ", SUM(E9:E20))</f>
        <v> </v>
      </c>
      <c r="F21" s="94"/>
      <c r="G21" s="94"/>
      <c r="H21" s="94"/>
      <c r="I21" s="95" t="str">
        <f>IF(ISBLANK($S$1), " ", SUM(I9:I20))</f>
        <v> </v>
      </c>
      <c r="J21" s="94"/>
      <c r="K21" s="94"/>
      <c r="L21" s="94"/>
      <c r="M21" s="93" t="str">
        <f>IF(ISBLANK($S$1), " ", SUM(M9:M20))</f>
        <v> </v>
      </c>
      <c r="N21" s="94"/>
      <c r="O21" s="94"/>
      <c r="P21" s="94"/>
      <c r="Q21" s="95" t="str">
        <f>IF(ISBLANK($S$1), " ", SUM(Q9:Q20))</f>
        <v> </v>
      </c>
      <c r="R21" s="94"/>
      <c r="S21" s="94"/>
      <c r="T21" s="94"/>
      <c r="U21" s="93" t="str">
        <f>IF(ISBLANK($S$1), " ", SUM(U9:U20))</f>
        <v> </v>
      </c>
      <c r="V21" s="96"/>
      <c r="W21" s="14"/>
      <c r="X21" s="14"/>
      <c r="Y21" s="14"/>
      <c r="Z21" s="14"/>
    </row>
    <row r="22" ht="27.75" customHeight="1">
      <c r="A22" s="1"/>
      <c r="B22" s="97" t="str">
        <f>"Annual "&amp;E5&amp;" Load Limit (lbs/ac/yr):"</f>
        <v>Annual  Load Limit (lbs/ac/yr):</v>
      </c>
      <c r="C22" s="98"/>
      <c r="D22" s="99"/>
      <c r="E22" s="100"/>
      <c r="F22" s="101"/>
      <c r="G22" s="101"/>
      <c r="H22" s="101"/>
      <c r="I22" s="102"/>
      <c r="J22" s="101"/>
      <c r="K22" s="101"/>
      <c r="L22" s="101"/>
      <c r="M22" s="103"/>
      <c r="N22" s="101"/>
      <c r="O22" s="101"/>
      <c r="P22" s="101"/>
      <c r="Q22" s="102"/>
      <c r="R22" s="101"/>
      <c r="S22" s="101"/>
      <c r="T22" s="101"/>
      <c r="U22" s="103"/>
      <c r="V22" s="104"/>
      <c r="W22" s="14"/>
      <c r="X22" s="14"/>
      <c r="Y22" s="14"/>
      <c r="Z22" s="14"/>
    </row>
    <row r="23" ht="264.75" customHeight="1">
      <c r="A23" s="105"/>
      <c r="B23" s="106"/>
      <c r="C23" s="107"/>
      <c r="D23" s="107"/>
      <c r="E23" s="108"/>
      <c r="F23" s="109"/>
      <c r="G23" s="109"/>
      <c r="H23" s="109"/>
      <c r="I23" s="110"/>
      <c r="J23" s="109"/>
      <c r="K23" s="109"/>
      <c r="L23" s="109"/>
      <c r="M23" s="110"/>
      <c r="N23" s="109"/>
      <c r="O23" s="109"/>
      <c r="P23" s="109"/>
      <c r="Q23" s="110"/>
      <c r="R23" s="109"/>
      <c r="S23" s="109"/>
      <c r="T23" s="109"/>
      <c r="U23" s="111"/>
      <c r="V23" s="112"/>
      <c r="W23" s="112"/>
      <c r="X23" s="112"/>
      <c r="Y23" s="112"/>
      <c r="Z23" s="112"/>
    </row>
    <row r="24" ht="12.75" customHeight="1">
      <c r="A24" s="1"/>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2.75" customHeight="1">
      <c r="A25" s="1"/>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2.75" customHeight="1">
      <c r="A26" s="1"/>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2.75" customHeight="1">
      <c r="A27" s="1"/>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2.75" customHeight="1">
      <c r="A28" s="1"/>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2.75" customHeight="1">
      <c r="A29" s="1"/>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2.75" customHeight="1">
      <c r="A30" s="1"/>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2.75" customHeight="1">
      <c r="A31" s="1"/>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2.75" customHeight="1">
      <c r="A32" s="1"/>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2.75" customHeight="1">
      <c r="A33" s="1"/>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2.75" customHeight="1">
      <c r="A34" s="1"/>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2.75" customHeight="1">
      <c r="A35" s="1"/>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2.75" customHeight="1">
      <c r="A36" s="1"/>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2.75" customHeight="1">
      <c r="A37" s="1"/>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2.75" customHeight="1">
      <c r="A38" s="1"/>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2.75" customHeight="1">
      <c r="A39" s="1"/>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2.75" customHeight="1">
      <c r="A40" s="1"/>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2.75" customHeight="1">
      <c r="A41" s="1"/>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2.75" customHeight="1">
      <c r="A42" s="1"/>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2.75" customHeight="1">
      <c r="A43" s="1"/>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2.75" customHeight="1">
      <c r="A44" s="1"/>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2.75" customHeight="1">
      <c r="A45" s="1"/>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2.75" customHeight="1">
      <c r="A46" s="1"/>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2.75" customHeight="1">
      <c r="A47" s="1"/>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2.75" customHeight="1">
      <c r="A48" s="1"/>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2.75" customHeight="1">
      <c r="A49" s="1"/>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2.75" customHeight="1">
      <c r="A50" s="1"/>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2.75" customHeight="1">
      <c r="A51" s="1"/>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2.75" customHeight="1">
      <c r="A52" s="1"/>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2.75" customHeight="1">
      <c r="A53" s="1"/>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2.75" customHeight="1">
      <c r="A54" s="1"/>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2.75" customHeight="1">
      <c r="A55" s="1"/>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2.75" customHeight="1">
      <c r="A56" s="1"/>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2.75" customHeight="1">
      <c r="A57" s="1"/>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2.75" customHeight="1">
      <c r="A58" s="1"/>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2.75" customHeight="1">
      <c r="A59" s="1"/>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2.75" customHeight="1">
      <c r="A60" s="1"/>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2.75" customHeight="1">
      <c r="A61" s="1"/>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2.75" customHeight="1">
      <c r="A62" s="1"/>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2.75" customHeight="1">
      <c r="A63" s="1"/>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2.75" customHeight="1">
      <c r="A64" s="1"/>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2.75" customHeight="1">
      <c r="A65" s="1"/>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2.75" customHeight="1">
      <c r="A66" s="1"/>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2.75" customHeight="1">
      <c r="A67" s="1"/>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2.75" customHeight="1">
      <c r="A68" s="1"/>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2.75" customHeight="1">
      <c r="A69" s="1"/>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2.75" customHeight="1">
      <c r="A70" s="1"/>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2.75" customHeight="1">
      <c r="A71" s="1"/>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2.75" customHeight="1">
      <c r="A72" s="1"/>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2.75" customHeight="1">
      <c r="A73" s="1"/>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2.75" customHeight="1">
      <c r="A74" s="1"/>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2.75" customHeight="1">
      <c r="A75" s="1"/>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2.75" customHeight="1">
      <c r="A76" s="1"/>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2.75" customHeight="1">
      <c r="A77" s="1"/>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2.75" customHeight="1">
      <c r="A78" s="1"/>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2.75" customHeight="1">
      <c r="A79" s="1"/>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2.75" customHeight="1">
      <c r="A80" s="1"/>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2.75" customHeight="1">
      <c r="A81" s="1"/>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2.75" customHeight="1">
      <c r="A82" s="1"/>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2.75" customHeight="1">
      <c r="A83" s="1"/>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2.75" customHeight="1">
      <c r="A84" s="1"/>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2.75" customHeight="1">
      <c r="A85" s="1"/>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2.75" customHeight="1">
      <c r="A86" s="1"/>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2.75" customHeight="1">
      <c r="A87" s="1"/>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2.75" customHeight="1">
      <c r="A88" s="1"/>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2.75" customHeight="1">
      <c r="A89" s="1"/>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2.75" customHeight="1">
      <c r="A90" s="1"/>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2.75" customHeight="1">
      <c r="A91" s="1"/>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2.75" customHeight="1">
      <c r="A92" s="1"/>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2.75" customHeight="1">
      <c r="A93" s="1"/>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2.75" customHeight="1">
      <c r="A94" s="1"/>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2.75" customHeight="1">
      <c r="A95" s="1"/>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2.75" customHeight="1">
      <c r="A96" s="1"/>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2.75" customHeight="1">
      <c r="A97" s="1"/>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2.75" customHeight="1">
      <c r="A98" s="1"/>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2.75" customHeight="1">
      <c r="A99" s="1"/>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2.75" customHeight="1">
      <c r="A100" s="1"/>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2.75" customHeight="1">
      <c r="A101" s="1"/>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2.75" customHeight="1">
      <c r="A102" s="1"/>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2.75" customHeight="1">
      <c r="A103" s="1"/>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2.75" customHeight="1">
      <c r="A104" s="1"/>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2.75" customHeight="1">
      <c r="A105" s="1"/>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2.75" customHeight="1">
      <c r="A106" s="1"/>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2.75" customHeight="1">
      <c r="A107" s="1"/>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2.75" customHeight="1">
      <c r="A108" s="1"/>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2.75" customHeight="1">
      <c r="A109" s="1"/>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2.75" customHeight="1">
      <c r="A110" s="1"/>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2.75" customHeight="1">
      <c r="A111" s="1"/>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2.75" customHeight="1">
      <c r="A112" s="1"/>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2.75" customHeight="1">
      <c r="A113" s="1"/>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2.75" customHeight="1">
      <c r="A114" s="1"/>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2.75" customHeight="1">
      <c r="A115" s="1"/>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2.75" customHeight="1">
      <c r="A116" s="1"/>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2.75" customHeight="1">
      <c r="A117" s="1"/>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2.75" customHeight="1">
      <c r="A118" s="1"/>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2.75" customHeight="1">
      <c r="A119" s="1"/>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2.75" customHeight="1">
      <c r="A120" s="1"/>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2.75" customHeight="1">
      <c r="A121" s="1"/>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2.75" customHeight="1">
      <c r="A122" s="1"/>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2.75" customHeight="1">
      <c r="A123" s="1"/>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2.75" customHeight="1">
      <c r="A124" s="1"/>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2.75" customHeight="1">
      <c r="A125" s="1"/>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2.75" customHeight="1">
      <c r="A126" s="1"/>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2.75" customHeight="1">
      <c r="A127" s="1"/>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2.75" customHeight="1">
      <c r="A128" s="1"/>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2.75" customHeight="1">
      <c r="A129" s="1"/>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2.75" customHeight="1">
      <c r="A130" s="1"/>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2.75" customHeight="1">
      <c r="A131" s="1"/>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2.75" customHeight="1">
      <c r="A132" s="1"/>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2.75" customHeight="1">
      <c r="A133" s="1"/>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2.75" customHeight="1">
      <c r="A134" s="1"/>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2.75" customHeight="1">
      <c r="A135" s="1"/>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2.75" customHeight="1">
      <c r="A136" s="1"/>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2.75" customHeight="1">
      <c r="A137" s="1"/>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2.75" customHeight="1">
      <c r="A138" s="1"/>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2.75" customHeight="1">
      <c r="A139" s="1"/>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2.75" customHeight="1">
      <c r="A140" s="1"/>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2.75" customHeight="1">
      <c r="A141" s="1"/>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2.75" customHeight="1">
      <c r="A142" s="1"/>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2.75" customHeight="1">
      <c r="A143" s="1"/>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2.75" customHeight="1">
      <c r="A144" s="1"/>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2.75" customHeight="1">
      <c r="A145" s="1"/>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2.75" customHeight="1">
      <c r="A146" s="1"/>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2.75" customHeight="1">
      <c r="A147" s="1"/>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2.75" customHeight="1">
      <c r="A148" s="1"/>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2.75" customHeight="1">
      <c r="A149" s="1"/>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2.75" customHeight="1">
      <c r="A150" s="1"/>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2.75" customHeight="1">
      <c r="A151" s="1"/>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2.75" customHeight="1">
      <c r="A152" s="1"/>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2.75" customHeight="1">
      <c r="A153" s="1"/>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2.75" customHeight="1">
      <c r="A154" s="1"/>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2.75" customHeight="1">
      <c r="A155" s="1"/>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2.75" customHeight="1">
      <c r="A156" s="1"/>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2.75" customHeight="1">
      <c r="A157" s="1"/>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2.75" customHeight="1">
      <c r="A158" s="1"/>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2.75" customHeight="1">
      <c r="A159" s="1"/>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2.75" customHeight="1">
      <c r="A160" s="1"/>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2.75" customHeight="1">
      <c r="A161" s="1"/>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2.75" customHeight="1">
      <c r="A162" s="1"/>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2.75" customHeight="1">
      <c r="A163" s="1"/>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2.75" customHeight="1">
      <c r="A164" s="1"/>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2.75" customHeight="1">
      <c r="A165" s="1"/>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2.75" customHeight="1">
      <c r="A166" s="1"/>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2.75" customHeight="1">
      <c r="A167" s="1"/>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2.75" customHeight="1">
      <c r="A168" s="1"/>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2.75" customHeight="1">
      <c r="A169" s="1"/>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2.75" customHeight="1">
      <c r="A170" s="1"/>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2.75" customHeight="1">
      <c r="A171" s="1"/>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2.75" customHeight="1">
      <c r="A172" s="1"/>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2.75" customHeight="1">
      <c r="A173" s="1"/>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2.75" customHeight="1">
      <c r="A174" s="1"/>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2.75" customHeight="1">
      <c r="A175" s="1"/>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2.75" customHeight="1">
      <c r="A176" s="1"/>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2.75" customHeight="1">
      <c r="A177" s="1"/>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2.75" customHeight="1">
      <c r="A178" s="1"/>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2.75" customHeight="1">
      <c r="A179" s="1"/>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2.75" customHeight="1">
      <c r="A180" s="1"/>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2.75" customHeight="1">
      <c r="A181" s="1"/>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2.75" customHeight="1">
      <c r="A182" s="1"/>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2.75" customHeight="1">
      <c r="A183" s="1"/>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2.75" customHeight="1">
      <c r="A184" s="1"/>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2.75" customHeight="1">
      <c r="A185" s="1"/>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2.75" customHeight="1">
      <c r="A186" s="1"/>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2.75" customHeight="1">
      <c r="A187" s="1"/>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2.75" customHeight="1">
      <c r="A188" s="1"/>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2.75" customHeight="1">
      <c r="A189" s="1"/>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2.75" customHeight="1">
      <c r="A190" s="1"/>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2.75" customHeight="1">
      <c r="A191" s="1"/>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2.75" customHeight="1">
      <c r="A192" s="1"/>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2.75" customHeight="1">
      <c r="A193" s="1"/>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2.75" customHeight="1">
      <c r="A194" s="1"/>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2.75" customHeight="1">
      <c r="A195" s="1"/>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2.75" customHeight="1">
      <c r="A196" s="1"/>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2.75" customHeight="1">
      <c r="A197" s="1"/>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2.75" customHeight="1">
      <c r="A198" s="1"/>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2.75" customHeight="1">
      <c r="A199" s="1"/>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2.75" customHeight="1">
      <c r="A200" s="1"/>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2.75" customHeight="1">
      <c r="A201" s="1"/>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2.75" customHeight="1">
      <c r="A202" s="1"/>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2.75" customHeight="1">
      <c r="A203" s="1"/>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2.75" customHeight="1">
      <c r="A204" s="1"/>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2.75" customHeight="1">
      <c r="A205" s="1"/>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2.75" customHeight="1">
      <c r="A206" s="1"/>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2.75" customHeight="1">
      <c r="A207" s="1"/>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2.75" customHeight="1">
      <c r="A208" s="1"/>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2.75" customHeight="1">
      <c r="A209" s="1"/>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2.75" customHeight="1">
      <c r="A210" s="1"/>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2.75" customHeight="1">
      <c r="A211" s="1"/>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2.75" customHeight="1">
      <c r="A212" s="1"/>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2.75" customHeight="1">
      <c r="A213" s="1"/>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2.75" customHeight="1">
      <c r="A214" s="1"/>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2.75" customHeight="1">
      <c r="A215" s="1"/>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2.75" customHeight="1">
      <c r="A216" s="1"/>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2.75" customHeight="1">
      <c r="A217" s="1"/>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2.75" customHeight="1">
      <c r="A218" s="1"/>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2.75" customHeight="1">
      <c r="A219" s="1"/>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2.75" customHeight="1">
      <c r="A220" s="1"/>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2.75" customHeight="1">
      <c r="A221" s="1"/>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2.75" customHeight="1">
      <c r="A222" s="1"/>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2.75" customHeight="1">
      <c r="A223" s="1"/>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2.75" customHeight="1">
      <c r="A224" s="1"/>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2.75" customHeight="1">
      <c r="A225" s="1"/>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2.75" customHeight="1">
      <c r="A226" s="1"/>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2.75" customHeight="1">
      <c r="A227" s="1"/>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2.75" customHeight="1">
      <c r="A228" s="1"/>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2.75" customHeight="1">
      <c r="A229" s="1"/>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2.75" customHeight="1">
      <c r="A230" s="1"/>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2.75" customHeight="1">
      <c r="A231" s="1"/>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2.75" customHeight="1">
      <c r="A232" s="1"/>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2.75" customHeight="1">
      <c r="A233" s="1"/>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2.75" customHeight="1">
      <c r="A234" s="1"/>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2.75" customHeight="1">
      <c r="A235" s="1"/>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2.75" customHeight="1">
      <c r="A236" s="1"/>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2.75" customHeight="1">
      <c r="A237" s="1"/>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2.75" customHeight="1">
      <c r="A238" s="1"/>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2.75" customHeight="1">
      <c r="A239" s="1"/>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2.75" customHeight="1">
      <c r="A240" s="1"/>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2.75" customHeight="1">
      <c r="A241" s="1"/>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2.75" customHeight="1">
      <c r="A242" s="1"/>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2.75" customHeight="1">
      <c r="A243" s="1"/>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2.75" customHeight="1">
      <c r="A244" s="1"/>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2.75" customHeight="1">
      <c r="A245" s="1"/>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2.75" customHeight="1">
      <c r="A246" s="1"/>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2.75" customHeight="1">
      <c r="A247" s="1"/>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2.75" customHeight="1">
      <c r="A248" s="1"/>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2.75" customHeight="1">
      <c r="A249" s="1"/>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2.75" customHeight="1">
      <c r="A250" s="1"/>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2.75" customHeight="1">
      <c r="A251" s="1"/>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2.75" customHeight="1">
      <c r="A252" s="1"/>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2.75" customHeight="1">
      <c r="A253" s="1"/>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2.75" customHeight="1">
      <c r="A254" s="1"/>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2.75" customHeight="1">
      <c r="A255" s="1"/>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2.75" customHeight="1">
      <c r="A256" s="1"/>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2.75" customHeight="1">
      <c r="A257" s="1"/>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2.75" customHeight="1">
      <c r="A258" s="1"/>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2.75" customHeight="1">
      <c r="A259" s="1"/>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2.75" customHeight="1">
      <c r="A260" s="1"/>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2.75" customHeight="1">
      <c r="A261" s="1"/>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2.75" customHeight="1">
      <c r="A262" s="1"/>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2.75" customHeight="1">
      <c r="A263" s="1"/>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2.75" customHeight="1">
      <c r="A264" s="1"/>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2.75" customHeight="1">
      <c r="A265" s="1"/>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2.75" customHeight="1">
      <c r="A266" s="1"/>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2.75" customHeight="1">
      <c r="A267" s="1"/>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2.75" customHeight="1">
      <c r="A268" s="1"/>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2.75" customHeight="1">
      <c r="A269" s="1"/>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2.75" customHeight="1">
      <c r="A270" s="1"/>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2.75" customHeight="1">
      <c r="A271" s="1"/>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2.75" customHeight="1">
      <c r="A272" s="1"/>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2.75" customHeight="1">
      <c r="A273" s="1"/>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2.75" customHeight="1">
      <c r="A274" s="1"/>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2.75" customHeight="1">
      <c r="A275" s="1"/>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2.75" customHeight="1">
      <c r="A276" s="1"/>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2.75" customHeight="1">
      <c r="A277" s="1"/>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2.75" customHeight="1">
      <c r="A278" s="1"/>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2.75" customHeight="1">
      <c r="A279" s="1"/>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2.75" customHeight="1">
      <c r="A280" s="1"/>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2.75" customHeight="1">
      <c r="A281" s="1"/>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2.75" customHeight="1">
      <c r="A282" s="1"/>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2.75" customHeight="1">
      <c r="A283" s="1"/>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2.75" customHeight="1">
      <c r="A284" s="1"/>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2.75" customHeight="1">
      <c r="A285" s="1"/>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2.75" customHeight="1">
      <c r="A286" s="1"/>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2.75" customHeight="1">
      <c r="A287" s="1"/>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2.75" customHeight="1">
      <c r="A288" s="1"/>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2.75" customHeight="1">
      <c r="A289" s="1"/>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2.75" customHeight="1">
      <c r="A290" s="1"/>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2.75" customHeight="1">
      <c r="A291" s="1"/>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2.75" customHeight="1">
      <c r="A292" s="1"/>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2.75" customHeight="1">
      <c r="A293" s="1"/>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2.75" customHeight="1">
      <c r="A294" s="1"/>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2.75" customHeight="1">
      <c r="A295" s="1"/>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2.75" customHeight="1">
      <c r="A296" s="1"/>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2.75" customHeight="1">
      <c r="A297" s="1"/>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2.75" customHeight="1">
      <c r="A298" s="1"/>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2.75" customHeight="1">
      <c r="A299" s="1"/>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2.75" customHeight="1">
      <c r="A300" s="1"/>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2.75" customHeight="1">
      <c r="A301" s="1"/>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2.75" customHeight="1">
      <c r="A302" s="1"/>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2.75" customHeight="1">
      <c r="A303" s="1"/>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2.75" customHeight="1">
      <c r="A304" s="1"/>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2.75" customHeight="1">
      <c r="A305" s="1"/>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2.75" customHeight="1">
      <c r="A306" s="1"/>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2.75" customHeight="1">
      <c r="A307" s="1"/>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2.75" customHeight="1">
      <c r="A308" s="1"/>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2.75" customHeight="1">
      <c r="A309" s="1"/>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2.75" customHeight="1">
      <c r="A310" s="1"/>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2.75" customHeight="1">
      <c r="A311" s="1"/>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2.75" customHeight="1">
      <c r="A312" s="1"/>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2.75" customHeight="1">
      <c r="A313" s="1"/>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2.75" customHeight="1">
      <c r="A314" s="1"/>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2.75" customHeight="1">
      <c r="A315" s="1"/>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2.75" customHeight="1">
      <c r="A316" s="1"/>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2.75" customHeight="1">
      <c r="A317" s="1"/>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2.75" customHeight="1">
      <c r="A318" s="1"/>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2.75" customHeight="1">
      <c r="A319" s="1"/>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2.75" customHeight="1">
      <c r="A320" s="1"/>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2.75" customHeight="1">
      <c r="A321" s="1"/>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2.75" customHeight="1">
      <c r="A322" s="1"/>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2.75" customHeight="1">
      <c r="A323" s="1"/>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2.75" customHeight="1">
      <c r="A324" s="1"/>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2.75" customHeight="1">
      <c r="A325" s="1"/>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2.75" customHeight="1">
      <c r="A326" s="1"/>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2.75" customHeight="1">
      <c r="A327" s="1"/>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2.75" customHeight="1">
      <c r="A328" s="1"/>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2.75" customHeight="1">
      <c r="A329" s="1"/>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2.75" customHeight="1">
      <c r="A330" s="1"/>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2.75" customHeight="1">
      <c r="A331" s="1"/>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2.75" customHeight="1">
      <c r="A332" s="1"/>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2.75" customHeight="1">
      <c r="A333" s="1"/>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2.75" customHeight="1">
      <c r="A334" s="1"/>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2.75" customHeight="1">
      <c r="A335" s="1"/>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2.75" customHeight="1">
      <c r="A336" s="1"/>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2.75" customHeight="1">
      <c r="A337" s="1"/>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2.75" customHeight="1">
      <c r="A338" s="1"/>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2.75" customHeight="1">
      <c r="A339" s="1"/>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2.75" customHeight="1">
      <c r="A340" s="1"/>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2.75" customHeight="1">
      <c r="A341" s="1"/>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2.75" customHeight="1">
      <c r="A342" s="1"/>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2.75" customHeight="1">
      <c r="A343" s="1"/>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2.75" customHeight="1">
      <c r="A344" s="1"/>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2.75" customHeight="1">
      <c r="A345" s="1"/>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2.75" customHeight="1">
      <c r="A346" s="1"/>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2.75" customHeight="1">
      <c r="A347" s="1"/>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2.75" customHeight="1">
      <c r="A348" s="1"/>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2.75" customHeight="1">
      <c r="A349" s="1"/>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2.75" customHeight="1">
      <c r="A350" s="1"/>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2.75" customHeight="1">
      <c r="A351" s="1"/>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2.75" customHeight="1">
      <c r="A352" s="1"/>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2.75" customHeight="1">
      <c r="A353" s="1"/>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2.75" customHeight="1">
      <c r="A354" s="1"/>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2.75" customHeight="1">
      <c r="A355" s="1"/>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2.75" customHeight="1">
      <c r="A356" s="1"/>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2.75" customHeight="1">
      <c r="A357" s="1"/>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2.75" customHeight="1">
      <c r="A358" s="1"/>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2.75" customHeight="1">
      <c r="A359" s="1"/>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2.75" customHeight="1">
      <c r="A360" s="1"/>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2.75" customHeight="1">
      <c r="A361" s="1"/>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2.75" customHeight="1">
      <c r="A362" s="1"/>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2.75" customHeight="1">
      <c r="A363" s="1"/>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2.75" customHeight="1">
      <c r="A364" s="1"/>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2.75" customHeight="1">
      <c r="A365" s="1"/>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2.75" customHeight="1">
      <c r="A366" s="1"/>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2.75" customHeight="1">
      <c r="A367" s="1"/>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2.75" customHeight="1">
      <c r="A368" s="1"/>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2.75" customHeight="1">
      <c r="A369" s="1"/>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2.75" customHeight="1">
      <c r="A370" s="1"/>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2.75" customHeight="1">
      <c r="A371" s="1"/>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2.75" customHeight="1">
      <c r="A372" s="1"/>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2.75" customHeight="1">
      <c r="A373" s="1"/>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2.75" customHeight="1">
      <c r="A374" s="1"/>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2.75" customHeight="1">
      <c r="A375" s="1"/>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2.75" customHeight="1">
      <c r="A376" s="1"/>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2.75" customHeight="1">
      <c r="A377" s="1"/>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2.75" customHeight="1">
      <c r="A378" s="1"/>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2.75" customHeight="1">
      <c r="A379" s="1"/>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2.75" customHeight="1">
      <c r="A380" s="1"/>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2.75" customHeight="1">
      <c r="A381" s="1"/>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2.75" customHeight="1">
      <c r="A382" s="1"/>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2.75" customHeight="1">
      <c r="A383" s="1"/>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2.75" customHeight="1">
      <c r="A384" s="1"/>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2.75" customHeight="1">
      <c r="A385" s="1"/>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2.75" customHeight="1">
      <c r="A386" s="1"/>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2.75" customHeight="1">
      <c r="A387" s="1"/>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2.75" customHeight="1">
      <c r="A388" s="1"/>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2.75" customHeight="1">
      <c r="A389" s="1"/>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2.75" customHeight="1">
      <c r="A390" s="1"/>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2.75" customHeight="1">
      <c r="A391" s="1"/>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2.75" customHeight="1">
      <c r="A392" s="1"/>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2.75" customHeight="1">
      <c r="A393" s="1"/>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2.75" customHeight="1">
      <c r="A394" s="1"/>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2.75" customHeight="1">
      <c r="A395" s="1"/>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2.75" customHeight="1">
      <c r="A396" s="1"/>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2.75" customHeight="1">
      <c r="A397" s="1"/>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2.75" customHeight="1">
      <c r="A398" s="1"/>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2.75" customHeight="1">
      <c r="A399" s="1"/>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2.75" customHeight="1">
      <c r="A400" s="1"/>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2.75" customHeight="1">
      <c r="A401" s="1"/>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2.75" customHeight="1">
      <c r="A402" s="1"/>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2.75" customHeight="1">
      <c r="A403" s="1"/>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2.75" customHeight="1">
      <c r="A404" s="1"/>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2.75" customHeight="1">
      <c r="A405" s="1"/>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2.75" customHeight="1">
      <c r="A406" s="1"/>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2.75" customHeight="1">
      <c r="A407" s="1"/>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2.75" customHeight="1">
      <c r="A408" s="1"/>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2.75" customHeight="1">
      <c r="A409" s="1"/>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2.75" customHeight="1">
      <c r="A410" s="1"/>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2.75" customHeight="1">
      <c r="A411" s="1"/>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2.75" customHeight="1">
      <c r="A412" s="1"/>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2.75" customHeight="1">
      <c r="A413" s="1"/>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2.75" customHeight="1">
      <c r="A414" s="1"/>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2.75" customHeight="1">
      <c r="A415" s="1"/>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2.75" customHeight="1">
      <c r="A416" s="1"/>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2.75" customHeight="1">
      <c r="A417" s="1"/>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2.75" customHeight="1">
      <c r="A418" s="1"/>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2.75" customHeight="1">
      <c r="A419" s="1"/>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2.75" customHeight="1">
      <c r="A420" s="1"/>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2.75" customHeight="1">
      <c r="A421" s="1"/>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2.75" customHeight="1">
      <c r="A422" s="1"/>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2.75" customHeight="1">
      <c r="A423" s="1"/>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2.75" customHeight="1">
      <c r="A424" s="1"/>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2.75" customHeight="1">
      <c r="A425" s="1"/>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2.75" customHeight="1">
      <c r="A426" s="1"/>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2.75" customHeight="1">
      <c r="A427" s="1"/>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2.75" customHeight="1">
      <c r="A428" s="1"/>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2.75" customHeight="1">
      <c r="A429" s="1"/>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2.75" customHeight="1">
      <c r="A430" s="1"/>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2.75" customHeight="1">
      <c r="A431" s="1"/>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2.75" customHeight="1">
      <c r="A432" s="1"/>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2.75" customHeight="1">
      <c r="A433" s="1"/>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2.75" customHeight="1">
      <c r="A434" s="1"/>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2.75" customHeight="1">
      <c r="A435" s="1"/>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2.75" customHeight="1">
      <c r="A436" s="1"/>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2.75" customHeight="1">
      <c r="A437" s="1"/>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2.75" customHeight="1">
      <c r="A438" s="1"/>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2.75" customHeight="1">
      <c r="A439" s="1"/>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2.75" customHeight="1">
      <c r="A440" s="1"/>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2.75" customHeight="1">
      <c r="A441" s="1"/>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2.75" customHeight="1">
      <c r="A442" s="1"/>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2.75" customHeight="1">
      <c r="A443" s="1"/>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2.75" customHeight="1">
      <c r="A444" s="1"/>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2.75" customHeight="1">
      <c r="A445" s="1"/>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2.75" customHeight="1">
      <c r="A446" s="1"/>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2.75" customHeight="1">
      <c r="A447" s="1"/>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2.75" customHeight="1">
      <c r="A448" s="1"/>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2.75" customHeight="1">
      <c r="A449" s="1"/>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2.75" customHeight="1">
      <c r="A450" s="1"/>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2.75" customHeight="1">
      <c r="A451" s="1"/>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2.75" customHeight="1">
      <c r="A452" s="1"/>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2.75" customHeight="1">
      <c r="A453" s="1"/>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2.75" customHeight="1">
      <c r="A454" s="1"/>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2.75" customHeight="1">
      <c r="A455" s="1"/>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2.75" customHeight="1">
      <c r="A456" s="1"/>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2.75" customHeight="1">
      <c r="A457" s="1"/>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2.75" customHeight="1">
      <c r="A458" s="1"/>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2.75" customHeight="1">
      <c r="A459" s="1"/>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2.75" customHeight="1">
      <c r="A460" s="1"/>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2.75" customHeight="1">
      <c r="A461" s="1"/>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2.75" customHeight="1">
      <c r="A462" s="1"/>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2.75" customHeight="1">
      <c r="A463" s="1"/>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2.75" customHeight="1">
      <c r="A464" s="1"/>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2.75" customHeight="1">
      <c r="A465" s="1"/>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2.75" customHeight="1">
      <c r="A466" s="1"/>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2.75" customHeight="1">
      <c r="A467" s="1"/>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2.75" customHeight="1">
      <c r="A468" s="1"/>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2.75" customHeight="1">
      <c r="A469" s="1"/>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2.75" customHeight="1">
      <c r="A470" s="1"/>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2.75" customHeight="1">
      <c r="A471" s="1"/>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2.75" customHeight="1">
      <c r="A472" s="1"/>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2.75" customHeight="1">
      <c r="A473" s="1"/>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2.75" customHeight="1">
      <c r="A474" s="1"/>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2.75" customHeight="1">
      <c r="A475" s="1"/>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2.75" customHeight="1">
      <c r="A476" s="1"/>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2.75" customHeight="1">
      <c r="A477" s="1"/>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2.75" customHeight="1">
      <c r="A478" s="1"/>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2.75" customHeight="1">
      <c r="A479" s="1"/>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2.75" customHeight="1">
      <c r="A480" s="1"/>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2.75" customHeight="1">
      <c r="A481" s="1"/>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2.75" customHeight="1">
      <c r="A482" s="1"/>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2.75" customHeight="1">
      <c r="A483" s="1"/>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2.75" customHeight="1">
      <c r="A484" s="1"/>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2.75" customHeight="1">
      <c r="A485" s="1"/>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2.75" customHeight="1">
      <c r="A486" s="1"/>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2.75" customHeight="1">
      <c r="A487" s="1"/>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2.75" customHeight="1">
      <c r="A488" s="1"/>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2.75" customHeight="1">
      <c r="A489" s="1"/>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2.75" customHeight="1">
      <c r="A490" s="1"/>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2.75" customHeight="1">
      <c r="A491" s="1"/>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2.75" customHeight="1">
      <c r="A492" s="1"/>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2.75" customHeight="1">
      <c r="A493" s="1"/>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2.75" customHeight="1">
      <c r="A494" s="1"/>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2.75" customHeight="1">
      <c r="A495" s="1"/>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2.75" customHeight="1">
      <c r="A496" s="1"/>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2.75" customHeight="1">
      <c r="A497" s="1"/>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2.75" customHeight="1">
      <c r="A498" s="1"/>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2.75" customHeight="1">
      <c r="A499" s="1"/>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2.75" customHeight="1">
      <c r="A500" s="1"/>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2.75" customHeight="1">
      <c r="A501" s="1"/>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2.75" customHeight="1">
      <c r="A502" s="1"/>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2.75" customHeight="1">
      <c r="A503" s="1"/>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2.75" customHeight="1">
      <c r="A504" s="1"/>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2.75" customHeight="1">
      <c r="A505" s="1"/>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2.75" customHeight="1">
      <c r="A506" s="1"/>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2.75" customHeight="1">
      <c r="A507" s="1"/>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2.75" customHeight="1">
      <c r="A508" s="1"/>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2.75" customHeight="1">
      <c r="A509" s="1"/>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2.75" customHeight="1">
      <c r="A510" s="1"/>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2.75" customHeight="1">
      <c r="A511" s="1"/>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2.75" customHeight="1">
      <c r="A512" s="1"/>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2.75" customHeight="1">
      <c r="A513" s="1"/>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2.75" customHeight="1">
      <c r="A514" s="1"/>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2.75" customHeight="1">
      <c r="A515" s="1"/>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2.75" customHeight="1">
      <c r="A516" s="1"/>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2.75" customHeight="1">
      <c r="A517" s="1"/>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2.75" customHeight="1">
      <c r="A518" s="1"/>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2.75" customHeight="1">
      <c r="A519" s="1"/>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2.75" customHeight="1">
      <c r="A520" s="1"/>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2.75" customHeight="1">
      <c r="A521" s="1"/>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2.75" customHeight="1">
      <c r="A522" s="1"/>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2.75" customHeight="1">
      <c r="A523" s="1"/>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2.75" customHeight="1">
      <c r="A524" s="1"/>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2.75" customHeight="1">
      <c r="A525" s="1"/>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2.75" customHeight="1">
      <c r="A526" s="1"/>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2.75" customHeight="1">
      <c r="A527" s="1"/>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2.75" customHeight="1">
      <c r="A528" s="1"/>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2.75" customHeight="1">
      <c r="A529" s="1"/>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2.75" customHeight="1">
      <c r="A530" s="1"/>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2.75" customHeight="1">
      <c r="A531" s="1"/>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2.75" customHeight="1">
      <c r="A532" s="1"/>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2.75" customHeight="1">
      <c r="A533" s="1"/>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2.75" customHeight="1">
      <c r="A534" s="1"/>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2.75" customHeight="1">
      <c r="A535" s="1"/>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2.75" customHeight="1">
      <c r="A536" s="1"/>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2.75" customHeight="1">
      <c r="A537" s="1"/>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2.75" customHeight="1">
      <c r="A538" s="1"/>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2.75" customHeight="1">
      <c r="A539" s="1"/>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2.75" customHeight="1">
      <c r="A540" s="1"/>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2.75" customHeight="1">
      <c r="A541" s="1"/>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2.75" customHeight="1">
      <c r="A542" s="1"/>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2.75" customHeight="1">
      <c r="A543" s="1"/>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2.75" customHeight="1">
      <c r="A544" s="1"/>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2.75" customHeight="1">
      <c r="A545" s="1"/>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2.75" customHeight="1">
      <c r="A546" s="1"/>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2.75" customHeight="1">
      <c r="A547" s="1"/>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2.75" customHeight="1">
      <c r="A548" s="1"/>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2.75" customHeight="1">
      <c r="A549" s="1"/>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2.75" customHeight="1">
      <c r="A550" s="1"/>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2.75" customHeight="1">
      <c r="A551" s="1"/>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2.75" customHeight="1">
      <c r="A552" s="1"/>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2.75" customHeight="1">
      <c r="A553" s="1"/>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2.75" customHeight="1">
      <c r="A554" s="1"/>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2.75" customHeight="1">
      <c r="A555" s="1"/>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2.75" customHeight="1">
      <c r="A556" s="1"/>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2.75" customHeight="1">
      <c r="A557" s="1"/>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2.75" customHeight="1">
      <c r="A558" s="1"/>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2.75" customHeight="1">
      <c r="A559" s="1"/>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2.75" customHeight="1">
      <c r="A560" s="1"/>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2.75" customHeight="1">
      <c r="A561" s="1"/>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2.75" customHeight="1">
      <c r="A562" s="1"/>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2.75" customHeight="1">
      <c r="A563" s="1"/>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2.75" customHeight="1">
      <c r="A564" s="1"/>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2.75" customHeight="1">
      <c r="A565" s="1"/>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2.75" customHeight="1">
      <c r="A566" s="1"/>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2.75" customHeight="1">
      <c r="A567" s="1"/>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2.75" customHeight="1">
      <c r="A568" s="1"/>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2.75" customHeight="1">
      <c r="A569" s="1"/>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2.75" customHeight="1">
      <c r="A570" s="1"/>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2.75" customHeight="1">
      <c r="A571" s="1"/>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2.75" customHeight="1">
      <c r="A572" s="1"/>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2.75" customHeight="1">
      <c r="A573" s="1"/>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2.75" customHeight="1">
      <c r="A574" s="1"/>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2.75" customHeight="1">
      <c r="A575" s="1"/>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2.75" customHeight="1">
      <c r="A576" s="1"/>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2.75" customHeight="1">
      <c r="A577" s="1"/>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2.75" customHeight="1">
      <c r="A578" s="1"/>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2.75" customHeight="1">
      <c r="A579" s="1"/>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2.75" customHeight="1">
      <c r="A580" s="1"/>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2.75" customHeight="1">
      <c r="A581" s="1"/>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2.75" customHeight="1">
      <c r="A582" s="1"/>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2.75" customHeight="1">
      <c r="A583" s="1"/>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2.75" customHeight="1">
      <c r="A584" s="1"/>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2.75" customHeight="1">
      <c r="A585" s="1"/>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2.75" customHeight="1">
      <c r="A586" s="1"/>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2.75" customHeight="1">
      <c r="A587" s="1"/>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2.75" customHeight="1">
      <c r="A588" s="1"/>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2.75" customHeight="1">
      <c r="A589" s="1"/>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2.75" customHeight="1">
      <c r="A590" s="1"/>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2.75" customHeight="1">
      <c r="A591" s="1"/>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2.75" customHeight="1">
      <c r="A592" s="1"/>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2.75" customHeight="1">
      <c r="A593" s="1"/>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2.75" customHeight="1">
      <c r="A594" s="1"/>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2.75" customHeight="1">
      <c r="A595" s="1"/>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2.75" customHeight="1">
      <c r="A596" s="1"/>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2.75" customHeight="1">
      <c r="A597" s="1"/>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2.75" customHeight="1">
      <c r="A598" s="1"/>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2.75" customHeight="1">
      <c r="A599" s="1"/>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2.75" customHeight="1">
      <c r="A600" s="1"/>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2.75" customHeight="1">
      <c r="A601" s="1"/>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2.75" customHeight="1">
      <c r="A602" s="1"/>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2.75" customHeight="1">
      <c r="A603" s="1"/>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2.75" customHeight="1">
      <c r="A604" s="1"/>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2.75" customHeight="1">
      <c r="A605" s="1"/>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2.75" customHeight="1">
      <c r="A606" s="1"/>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2.75" customHeight="1">
      <c r="A607" s="1"/>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2.75" customHeight="1">
      <c r="A608" s="1"/>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2.75" customHeight="1">
      <c r="A609" s="1"/>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2.75" customHeight="1">
      <c r="A610" s="1"/>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2.75" customHeight="1">
      <c r="A611" s="1"/>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2.75" customHeight="1">
      <c r="A612" s="1"/>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2.75" customHeight="1">
      <c r="A613" s="1"/>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2.75" customHeight="1">
      <c r="A614" s="1"/>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2.75" customHeight="1">
      <c r="A615" s="1"/>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2.75" customHeight="1">
      <c r="A616" s="1"/>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2.75" customHeight="1">
      <c r="A617" s="1"/>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2.75" customHeight="1">
      <c r="A618" s="1"/>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2.75" customHeight="1">
      <c r="A619" s="1"/>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2.75" customHeight="1">
      <c r="A620" s="1"/>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2.75" customHeight="1">
      <c r="A621" s="1"/>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2.75" customHeight="1">
      <c r="A622" s="1"/>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2.75" customHeight="1">
      <c r="A623" s="1"/>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2.75" customHeight="1">
      <c r="A624" s="1"/>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2.75" customHeight="1">
      <c r="A625" s="1"/>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2.75" customHeight="1">
      <c r="A626" s="1"/>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2.75" customHeight="1">
      <c r="A627" s="1"/>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2.75" customHeight="1">
      <c r="A628" s="1"/>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2.75" customHeight="1">
      <c r="A629" s="1"/>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2.75" customHeight="1">
      <c r="A630" s="1"/>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2.75" customHeight="1">
      <c r="A631" s="1"/>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2.75" customHeight="1">
      <c r="A632" s="1"/>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2.75" customHeight="1">
      <c r="A633" s="1"/>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2.75" customHeight="1">
      <c r="A634" s="1"/>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2.75" customHeight="1">
      <c r="A635" s="1"/>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2.75" customHeight="1">
      <c r="A636" s="1"/>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2.75" customHeight="1">
      <c r="A637" s="1"/>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2.75" customHeight="1">
      <c r="A638" s="1"/>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2.75" customHeight="1">
      <c r="A639" s="1"/>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2.75" customHeight="1">
      <c r="A640" s="1"/>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2.75" customHeight="1">
      <c r="A641" s="1"/>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2.75" customHeight="1">
      <c r="A642" s="1"/>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2.75" customHeight="1">
      <c r="A643" s="1"/>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2.75" customHeight="1">
      <c r="A644" s="1"/>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2.75" customHeight="1">
      <c r="A645" s="1"/>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2.75" customHeight="1">
      <c r="A646" s="1"/>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2.75" customHeight="1">
      <c r="A647" s="1"/>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2.75" customHeight="1">
      <c r="A648" s="1"/>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2.75" customHeight="1">
      <c r="A649" s="1"/>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2.75" customHeight="1">
      <c r="A650" s="1"/>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2.75" customHeight="1">
      <c r="A651" s="1"/>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2.75" customHeight="1">
      <c r="A652" s="1"/>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2.75" customHeight="1">
      <c r="A653" s="1"/>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2.75" customHeight="1">
      <c r="A654" s="1"/>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2.75" customHeight="1">
      <c r="A655" s="1"/>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2.75" customHeight="1">
      <c r="A656" s="1"/>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2.75" customHeight="1">
      <c r="A657" s="1"/>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2.75" customHeight="1">
      <c r="A658" s="1"/>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2.75" customHeight="1">
      <c r="A659" s="1"/>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2.75" customHeight="1">
      <c r="A660" s="1"/>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2.75" customHeight="1">
      <c r="A661" s="1"/>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2.75" customHeight="1">
      <c r="A662" s="1"/>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2.75" customHeight="1">
      <c r="A663" s="1"/>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2.75" customHeight="1">
      <c r="A664" s="1"/>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2.75" customHeight="1">
      <c r="A665" s="1"/>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2.75" customHeight="1">
      <c r="A666" s="1"/>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2.75" customHeight="1">
      <c r="A667" s="1"/>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2.75" customHeight="1">
      <c r="A668" s="1"/>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2.75" customHeight="1">
      <c r="A669" s="1"/>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2.75" customHeight="1">
      <c r="A670" s="1"/>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2.75" customHeight="1">
      <c r="A671" s="1"/>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2.75" customHeight="1">
      <c r="A672" s="1"/>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2.75" customHeight="1">
      <c r="A673" s="1"/>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2.75" customHeight="1">
      <c r="A674" s="1"/>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2.75" customHeight="1">
      <c r="A675" s="1"/>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2.75" customHeight="1">
      <c r="A676" s="1"/>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2.75" customHeight="1">
      <c r="A677" s="1"/>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2.75" customHeight="1">
      <c r="A678" s="1"/>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2.75" customHeight="1">
      <c r="A679" s="1"/>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2.75" customHeight="1">
      <c r="A680" s="1"/>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2.75" customHeight="1">
      <c r="A681" s="1"/>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2.75" customHeight="1">
      <c r="A682" s="1"/>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2.75" customHeight="1">
      <c r="A683" s="1"/>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2.75" customHeight="1">
      <c r="A684" s="1"/>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2.75" customHeight="1">
      <c r="A685" s="1"/>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2.75" customHeight="1">
      <c r="A686" s="1"/>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2.75" customHeight="1">
      <c r="A687" s="1"/>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2.75" customHeight="1">
      <c r="A688" s="1"/>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2.75" customHeight="1">
      <c r="A689" s="1"/>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2.75" customHeight="1">
      <c r="A690" s="1"/>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2.75" customHeight="1">
      <c r="A691" s="1"/>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2.75" customHeight="1">
      <c r="A692" s="1"/>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2.75" customHeight="1">
      <c r="A693" s="1"/>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2.75" customHeight="1">
      <c r="A694" s="1"/>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2.75" customHeight="1">
      <c r="A695" s="1"/>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2.75" customHeight="1">
      <c r="A696" s="1"/>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2.75" customHeight="1">
      <c r="A697" s="1"/>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2.75" customHeight="1">
      <c r="A698" s="1"/>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2.75" customHeight="1">
      <c r="A699" s="1"/>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2.75" customHeight="1">
      <c r="A700" s="1"/>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2.75" customHeight="1">
      <c r="A701" s="1"/>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2.75" customHeight="1">
      <c r="A702" s="1"/>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2.75" customHeight="1">
      <c r="A703" s="1"/>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2.75" customHeight="1">
      <c r="A704" s="1"/>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2.75" customHeight="1">
      <c r="A705" s="1"/>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2.75" customHeight="1">
      <c r="A706" s="1"/>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2.75" customHeight="1">
      <c r="A707" s="1"/>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2.75" customHeight="1">
      <c r="A708" s="1"/>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2.75" customHeight="1">
      <c r="A709" s="1"/>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2.75" customHeight="1">
      <c r="A710" s="1"/>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2.75" customHeight="1">
      <c r="A711" s="1"/>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2.75" customHeight="1">
      <c r="A712" s="1"/>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2.75" customHeight="1">
      <c r="A713" s="1"/>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2.75" customHeight="1">
      <c r="A714" s="1"/>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2.75" customHeight="1">
      <c r="A715" s="1"/>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2.75" customHeight="1">
      <c r="A716" s="1"/>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2.75" customHeight="1">
      <c r="A717" s="1"/>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2.75" customHeight="1">
      <c r="A718" s="1"/>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2.75" customHeight="1">
      <c r="A719" s="1"/>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2.75" customHeight="1">
      <c r="A720" s="1"/>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2.75" customHeight="1">
      <c r="A721" s="1"/>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2.75" customHeight="1">
      <c r="A722" s="1"/>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2.75" customHeight="1">
      <c r="A723" s="1"/>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2.75" customHeight="1">
      <c r="A724" s="1"/>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2.75" customHeight="1">
      <c r="A725" s="1"/>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2.75" customHeight="1">
      <c r="A726" s="1"/>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2.75" customHeight="1">
      <c r="A727" s="1"/>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2.75" customHeight="1">
      <c r="A728" s="1"/>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2.75" customHeight="1">
      <c r="A729" s="1"/>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2.75" customHeight="1">
      <c r="A730" s="1"/>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2.75" customHeight="1">
      <c r="A731" s="1"/>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2.75" customHeight="1">
      <c r="A732" s="1"/>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2.75" customHeight="1">
      <c r="A733" s="1"/>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2.75" customHeight="1">
      <c r="A734" s="1"/>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2.75" customHeight="1">
      <c r="A735" s="1"/>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2.75" customHeight="1">
      <c r="A736" s="1"/>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2.75" customHeight="1">
      <c r="A737" s="1"/>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2.75" customHeight="1">
      <c r="A738" s="1"/>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2.75" customHeight="1">
      <c r="A739" s="1"/>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2.75" customHeight="1">
      <c r="A740" s="1"/>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2.75" customHeight="1">
      <c r="A741" s="1"/>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2.75" customHeight="1">
      <c r="A742" s="1"/>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2.75" customHeight="1">
      <c r="A743" s="1"/>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2.75" customHeight="1">
      <c r="A744" s="1"/>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2.75" customHeight="1">
      <c r="A745" s="1"/>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2.75" customHeight="1">
      <c r="A746" s="1"/>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2.75" customHeight="1">
      <c r="A747" s="1"/>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2.75" customHeight="1">
      <c r="A748" s="1"/>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2.75" customHeight="1">
      <c r="A749" s="1"/>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2.75" customHeight="1">
      <c r="A750" s="1"/>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2.75" customHeight="1">
      <c r="A751" s="1"/>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2.75" customHeight="1">
      <c r="A752" s="1"/>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2.75" customHeight="1">
      <c r="A753" s="1"/>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2.75" customHeight="1">
      <c r="A754" s="1"/>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2.75" customHeight="1">
      <c r="A755" s="1"/>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2.75" customHeight="1">
      <c r="A756" s="1"/>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2.75" customHeight="1">
      <c r="A757" s="1"/>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2.75" customHeight="1">
      <c r="A758" s="1"/>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2.75" customHeight="1">
      <c r="A759" s="1"/>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2.75" customHeight="1">
      <c r="A760" s="1"/>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2.75" customHeight="1">
      <c r="A761" s="1"/>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2.75" customHeight="1">
      <c r="A762" s="1"/>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2.75" customHeight="1">
      <c r="A763" s="1"/>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2.75" customHeight="1">
      <c r="A764" s="1"/>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2.75" customHeight="1">
      <c r="A765" s="1"/>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2.75" customHeight="1">
      <c r="A766" s="1"/>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2.75" customHeight="1">
      <c r="A767" s="1"/>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2.75" customHeight="1">
      <c r="A768" s="1"/>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2.75" customHeight="1">
      <c r="A769" s="1"/>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2.75" customHeight="1">
      <c r="A770" s="1"/>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2.75" customHeight="1">
      <c r="A771" s="1"/>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2.75" customHeight="1">
      <c r="A772" s="1"/>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2.75" customHeight="1">
      <c r="A773" s="1"/>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2.75" customHeight="1">
      <c r="A774" s="1"/>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2.75" customHeight="1">
      <c r="A775" s="1"/>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2.75" customHeight="1">
      <c r="A776" s="1"/>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2.75" customHeight="1">
      <c r="A777" s="1"/>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2.75" customHeight="1">
      <c r="A778" s="1"/>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2.75" customHeight="1">
      <c r="A779" s="1"/>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2.75" customHeight="1">
      <c r="A780" s="1"/>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2.75" customHeight="1">
      <c r="A781" s="1"/>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2.75" customHeight="1">
      <c r="A782" s="1"/>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2.75" customHeight="1">
      <c r="A783" s="1"/>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2.75" customHeight="1">
      <c r="A784" s="1"/>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2.75" customHeight="1">
      <c r="A785" s="1"/>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2.75" customHeight="1">
      <c r="A786" s="1"/>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2.75" customHeight="1">
      <c r="A787" s="1"/>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2.75" customHeight="1">
      <c r="A788" s="1"/>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2.75" customHeight="1">
      <c r="A789" s="1"/>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2.75" customHeight="1">
      <c r="A790" s="1"/>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2.75" customHeight="1">
      <c r="A791" s="1"/>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2.75" customHeight="1">
      <c r="A792" s="1"/>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2.75" customHeight="1">
      <c r="A793" s="1"/>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2.75" customHeight="1">
      <c r="A794" s="1"/>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2.75" customHeight="1">
      <c r="A795" s="1"/>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2.75" customHeight="1">
      <c r="A796" s="1"/>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2.75" customHeight="1">
      <c r="A797" s="1"/>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2.75" customHeight="1">
      <c r="A798" s="1"/>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2.75" customHeight="1">
      <c r="A799" s="1"/>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2.75" customHeight="1">
      <c r="A800" s="1"/>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2.75" customHeight="1">
      <c r="A801" s="1"/>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2.75" customHeight="1">
      <c r="A802" s="1"/>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2.75" customHeight="1">
      <c r="A803" s="1"/>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2.75" customHeight="1">
      <c r="A804" s="1"/>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2.75" customHeight="1">
      <c r="A805" s="1"/>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2.75" customHeight="1">
      <c r="A806" s="1"/>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2.75" customHeight="1">
      <c r="A807" s="1"/>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2.75" customHeight="1">
      <c r="A808" s="1"/>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2.75" customHeight="1">
      <c r="A809" s="1"/>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2.75" customHeight="1">
      <c r="A810" s="1"/>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2.75" customHeight="1">
      <c r="A811" s="1"/>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2.75" customHeight="1">
      <c r="A812" s="1"/>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2.75" customHeight="1">
      <c r="A813" s="1"/>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2.75" customHeight="1">
      <c r="A814" s="1"/>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2.75" customHeight="1">
      <c r="A815" s="1"/>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2.75" customHeight="1">
      <c r="A816" s="1"/>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2.75" customHeight="1">
      <c r="A817" s="1"/>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2.75" customHeight="1">
      <c r="A818" s="1"/>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2.75" customHeight="1">
      <c r="A819" s="1"/>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2.75" customHeight="1">
      <c r="A820" s="1"/>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2.75" customHeight="1">
      <c r="A821" s="1"/>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2.75" customHeight="1">
      <c r="A822" s="1"/>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2.75" customHeight="1">
      <c r="A823" s="1"/>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2.75" customHeight="1">
      <c r="A824" s="1"/>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2.75" customHeight="1">
      <c r="A825" s="1"/>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2.75" customHeight="1">
      <c r="A826" s="1"/>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2.75" customHeight="1">
      <c r="A827" s="1"/>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2.75" customHeight="1">
      <c r="A828" s="1"/>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2.75" customHeight="1">
      <c r="A829" s="1"/>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2.75" customHeight="1">
      <c r="A830" s="1"/>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2.75" customHeight="1">
      <c r="A831" s="1"/>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2.75" customHeight="1">
      <c r="A832" s="1"/>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2.75" customHeight="1">
      <c r="A833" s="1"/>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2.75" customHeight="1">
      <c r="A834" s="1"/>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2.75" customHeight="1">
      <c r="A835" s="1"/>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2.75" customHeight="1">
      <c r="A836" s="1"/>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2.75" customHeight="1">
      <c r="A837" s="1"/>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2.75" customHeight="1">
      <c r="A838" s="1"/>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2.75" customHeight="1">
      <c r="A839" s="1"/>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2.75" customHeight="1">
      <c r="A840" s="1"/>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2.75" customHeight="1">
      <c r="A841" s="1"/>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2.75" customHeight="1">
      <c r="A842" s="1"/>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2.75" customHeight="1">
      <c r="A843" s="1"/>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2.75" customHeight="1">
      <c r="A844" s="1"/>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2.75" customHeight="1">
      <c r="A845" s="1"/>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2.75" customHeight="1">
      <c r="A846" s="1"/>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2.75" customHeight="1">
      <c r="A847" s="1"/>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2.75" customHeight="1">
      <c r="A848" s="1"/>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2.75" customHeight="1">
      <c r="A849" s="1"/>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2.75" customHeight="1">
      <c r="A850" s="1"/>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2.75" customHeight="1">
      <c r="A851" s="1"/>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2.75" customHeight="1">
      <c r="A852" s="1"/>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2.75" customHeight="1">
      <c r="A853" s="1"/>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2.75" customHeight="1">
      <c r="A854" s="1"/>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2.75" customHeight="1">
      <c r="A855" s="1"/>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2.75" customHeight="1">
      <c r="A856" s="1"/>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2.75" customHeight="1">
      <c r="A857" s="1"/>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2.75" customHeight="1">
      <c r="A858" s="1"/>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2.75" customHeight="1">
      <c r="A859" s="1"/>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2.75" customHeight="1">
      <c r="A860" s="1"/>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2.75" customHeight="1">
      <c r="A861" s="1"/>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2.75" customHeight="1">
      <c r="A862" s="1"/>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2.75" customHeight="1">
      <c r="A863" s="1"/>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2.75" customHeight="1">
      <c r="A864" s="1"/>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2.75" customHeight="1">
      <c r="A865" s="1"/>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2.75" customHeight="1">
      <c r="A866" s="1"/>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2.75" customHeight="1">
      <c r="A867" s="1"/>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2.75" customHeight="1">
      <c r="A868" s="1"/>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2.75" customHeight="1">
      <c r="A869" s="1"/>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2.75" customHeight="1">
      <c r="A870" s="1"/>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2.75" customHeight="1">
      <c r="A871" s="1"/>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2.75" customHeight="1">
      <c r="A872" s="1"/>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2.75" customHeight="1">
      <c r="A873" s="1"/>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2.75" customHeight="1">
      <c r="A874" s="1"/>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2.75" customHeight="1">
      <c r="A875" s="1"/>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2.75" customHeight="1">
      <c r="A876" s="1"/>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2.75" customHeight="1">
      <c r="A877" s="1"/>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2.75" customHeight="1">
      <c r="A878" s="1"/>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2.75" customHeight="1">
      <c r="A879" s="1"/>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2.75" customHeight="1">
      <c r="A880" s="1"/>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2.75" customHeight="1">
      <c r="A881" s="1"/>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2.75" customHeight="1">
      <c r="A882" s="1"/>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2.75" customHeight="1">
      <c r="A883" s="1"/>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2.75" customHeight="1">
      <c r="A884" s="1"/>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2.75" customHeight="1">
      <c r="A885" s="1"/>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2.75" customHeight="1">
      <c r="A886" s="1"/>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2.75" customHeight="1">
      <c r="A887" s="1"/>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2.75" customHeight="1">
      <c r="A888" s="1"/>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2.75" customHeight="1">
      <c r="A889" s="1"/>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2.75" customHeight="1">
      <c r="A890" s="1"/>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2.75" customHeight="1">
      <c r="A891" s="1"/>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2.75" customHeight="1">
      <c r="A892" s="1"/>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2.75" customHeight="1">
      <c r="A893" s="1"/>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2.75" customHeight="1">
      <c r="A894" s="1"/>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2.75" customHeight="1">
      <c r="A895" s="1"/>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2.75" customHeight="1">
      <c r="A896" s="1"/>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2.75" customHeight="1">
      <c r="A897" s="1"/>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2.75" customHeight="1">
      <c r="A898" s="1"/>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2.75" customHeight="1">
      <c r="A899" s="1"/>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2.75" customHeight="1">
      <c r="A900" s="1"/>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2.75" customHeight="1">
      <c r="A901" s="1"/>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2.75" customHeight="1">
      <c r="A902" s="1"/>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2.75" customHeight="1">
      <c r="A903" s="1"/>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2.75" customHeight="1">
      <c r="A904" s="1"/>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2.75" customHeight="1">
      <c r="A905" s="1"/>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2.75" customHeight="1">
      <c r="A906" s="1"/>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2.75" customHeight="1">
      <c r="A907" s="1"/>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2.75" customHeight="1">
      <c r="A908" s="1"/>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2.75" customHeight="1">
      <c r="A909" s="1"/>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2.75" customHeight="1">
      <c r="A910" s="1"/>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2.75" customHeight="1">
      <c r="A911" s="1"/>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2.75" customHeight="1">
      <c r="A912" s="1"/>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2.75" customHeight="1">
      <c r="A913" s="1"/>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2.75" customHeight="1">
      <c r="A914" s="1"/>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2.75" customHeight="1">
      <c r="A915" s="1"/>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2.75" customHeight="1">
      <c r="A916" s="1"/>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2.75" customHeight="1">
      <c r="A917" s="1"/>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2.75" customHeight="1">
      <c r="A918" s="1"/>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2.75" customHeight="1">
      <c r="A919" s="1"/>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2.75" customHeight="1">
      <c r="A920" s="1"/>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2.75" customHeight="1">
      <c r="A921" s="1"/>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2.75" customHeight="1">
      <c r="A922" s="1"/>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2.75" customHeight="1">
      <c r="A923" s="1"/>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2.75" customHeight="1">
      <c r="A924" s="1"/>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2.75" customHeight="1">
      <c r="A925" s="1"/>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2.75" customHeight="1">
      <c r="A926" s="1"/>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2.75" customHeight="1">
      <c r="A927" s="1"/>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2.75" customHeight="1">
      <c r="A928" s="1"/>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2.75" customHeight="1">
      <c r="A929" s="1"/>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2.75" customHeight="1">
      <c r="A930" s="1"/>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2.75" customHeight="1">
      <c r="A931" s="1"/>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2.75" customHeight="1">
      <c r="A932" s="1"/>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2.75" customHeight="1">
      <c r="A933" s="1"/>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2.75" customHeight="1">
      <c r="A934" s="1"/>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2.75" customHeight="1">
      <c r="A935" s="1"/>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2.75" customHeight="1">
      <c r="A936" s="1"/>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2.75" customHeight="1">
      <c r="A937" s="1"/>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2.75" customHeight="1">
      <c r="A938" s="1"/>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2.75" customHeight="1">
      <c r="A939" s="1"/>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2.75" customHeight="1">
      <c r="A940" s="1"/>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2.75" customHeight="1">
      <c r="A941" s="1"/>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2.75" customHeight="1">
      <c r="A942" s="1"/>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2.75" customHeight="1">
      <c r="A943" s="1"/>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2.75" customHeight="1">
      <c r="A944" s="1"/>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2.75" customHeight="1">
      <c r="A945" s="1"/>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2.75" customHeight="1">
      <c r="A946" s="1"/>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2.75" customHeight="1">
      <c r="A947" s="1"/>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2.75" customHeight="1">
      <c r="A948" s="1"/>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2.75" customHeight="1">
      <c r="A949" s="1"/>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2.75" customHeight="1">
      <c r="A950" s="1"/>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2.75" customHeight="1">
      <c r="A951" s="1"/>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2.75" customHeight="1">
      <c r="A952" s="1"/>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2.75" customHeight="1">
      <c r="A953" s="1"/>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2.75" customHeight="1">
      <c r="A954" s="1"/>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2.75" customHeight="1">
      <c r="A955" s="1"/>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2.75" customHeight="1">
      <c r="A956" s="1"/>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2.75" customHeight="1">
      <c r="A957" s="1"/>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2.75" customHeight="1">
      <c r="A958" s="1"/>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2.75" customHeight="1">
      <c r="A959" s="1"/>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2.75" customHeight="1">
      <c r="A960" s="1"/>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2.75" customHeight="1">
      <c r="A961" s="1"/>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2.75" customHeight="1">
      <c r="A962" s="1"/>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2.75" customHeight="1">
      <c r="A963" s="1"/>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2.75" customHeight="1">
      <c r="A964" s="1"/>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2.75" customHeight="1">
      <c r="A965" s="1"/>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2.75" customHeight="1">
      <c r="A966" s="1"/>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2.75" customHeight="1">
      <c r="A967" s="1"/>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2.75" customHeight="1">
      <c r="A968" s="1"/>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2.75" customHeight="1">
      <c r="A969" s="1"/>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2.75" customHeight="1">
      <c r="A970" s="1"/>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2.75" customHeight="1">
      <c r="A971" s="1"/>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2.75" customHeight="1">
      <c r="A972" s="1"/>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2.75" customHeight="1">
      <c r="A973" s="1"/>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2.75" customHeight="1">
      <c r="A974" s="1"/>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2.75" customHeight="1">
      <c r="A975" s="1"/>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2.75" customHeight="1">
      <c r="A976" s="1"/>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2.75" customHeight="1">
      <c r="A977" s="1"/>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2.75" customHeight="1">
      <c r="A978" s="1"/>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2.75" customHeight="1">
      <c r="A979" s="1"/>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2.75" customHeight="1">
      <c r="A980" s="1"/>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2.75" customHeight="1">
      <c r="A981" s="1"/>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2.75" customHeight="1">
      <c r="A982" s="1"/>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2.75" customHeight="1">
      <c r="A983" s="1"/>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2.75" customHeight="1">
      <c r="A984" s="1"/>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2.75" customHeight="1">
      <c r="A985" s="1"/>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2.75" customHeight="1">
      <c r="A986" s="1"/>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2.75" customHeight="1">
      <c r="A987" s="1"/>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2.75" customHeight="1">
      <c r="A988" s="1"/>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2.75" customHeight="1">
      <c r="A989" s="1"/>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2.75" customHeight="1">
      <c r="A990" s="1"/>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2.75" customHeight="1">
      <c r="A991" s="1"/>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2.75" customHeight="1">
      <c r="A992" s="1"/>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2.75" customHeight="1">
      <c r="A993" s="1"/>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2.75" customHeight="1">
      <c r="A994" s="1"/>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2.75" customHeight="1">
      <c r="A995" s="1"/>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2.75" customHeight="1">
      <c r="A996" s="1"/>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2.75" customHeight="1">
      <c r="A997" s="1"/>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2.75" customHeight="1">
      <c r="A998" s="1"/>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2.75" customHeight="1">
      <c r="A999" s="1"/>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2.75" customHeight="1">
      <c r="A1000" s="1"/>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mergeCells count="54">
    <mergeCell ref="Q5:R5"/>
    <mergeCell ref="S5:T5"/>
    <mergeCell ref="U5:V5"/>
    <mergeCell ref="S6:T6"/>
    <mergeCell ref="G5:H5"/>
    <mergeCell ref="G6:H6"/>
    <mergeCell ref="B21:D21"/>
    <mergeCell ref="B22:D22"/>
    <mergeCell ref="O5:P5"/>
    <mergeCell ref="O6:P6"/>
    <mergeCell ref="C5:D5"/>
    <mergeCell ref="E5:F5"/>
    <mergeCell ref="I5:J5"/>
    <mergeCell ref="K5:L5"/>
    <mergeCell ref="M5:N5"/>
    <mergeCell ref="C6:D6"/>
    <mergeCell ref="K6:L6"/>
    <mergeCell ref="C1:D1"/>
    <mergeCell ref="E1:F1"/>
    <mergeCell ref="G1:L1"/>
    <mergeCell ref="M1:N1"/>
    <mergeCell ref="O1:P1"/>
    <mergeCell ref="Q1:R1"/>
    <mergeCell ref="S1:T1"/>
    <mergeCell ref="Q2:R2"/>
    <mergeCell ref="S2:T2"/>
    <mergeCell ref="U2:V2"/>
    <mergeCell ref="C2:D2"/>
    <mergeCell ref="E2:F2"/>
    <mergeCell ref="G2:H2"/>
    <mergeCell ref="I2:J2"/>
    <mergeCell ref="K2:L2"/>
    <mergeCell ref="M2:N2"/>
    <mergeCell ref="O2:P2"/>
    <mergeCell ref="Q3:R3"/>
    <mergeCell ref="S3:T3"/>
    <mergeCell ref="U3:V3"/>
    <mergeCell ref="C3:D3"/>
    <mergeCell ref="E3:F3"/>
    <mergeCell ref="G3:H3"/>
    <mergeCell ref="I3:J3"/>
    <mergeCell ref="K3:L3"/>
    <mergeCell ref="M3:N3"/>
    <mergeCell ref="O3:P3"/>
    <mergeCell ref="Q4:R4"/>
    <mergeCell ref="S4:T4"/>
    <mergeCell ref="U4:V4"/>
    <mergeCell ref="C4:D4"/>
    <mergeCell ref="E4:F4"/>
    <mergeCell ref="G4:H4"/>
    <mergeCell ref="I4:J4"/>
    <mergeCell ref="K4:L4"/>
    <mergeCell ref="M4:N4"/>
    <mergeCell ref="O4:P4"/>
  </mergeCells>
  <dataValidations>
    <dataValidation type="list" allowBlank="1" showErrorMessage="1" sqref="O1">
      <formula1>County</formula1>
    </dataValidation>
    <dataValidation type="list" allowBlank="1" showErrorMessage="1" sqref="V1">
      <formula1>Year</formula1>
    </dataValidation>
    <dataValidation type="list" allowBlank="1" showErrorMessage="1" sqref="S1">
      <formula1>Month</formula1>
    </dataValidation>
    <dataValidation type="list" allowBlank="1" showErrorMessage="1" sqref="E5 I5 M5 Q5 U5">
      <formula1>LOAD</formula1>
    </dataValidation>
  </dataValidations>
  <printOptions horizontalCentered="1"/>
  <pageMargins bottom="0.1" footer="0.0" header="0.0" left="0.284313210848644" right="0.284313210848644" top="0.5"/>
  <pageSetup orientation="landscape"/>
  <headerFooter>
    <oddHeader>&amp;LFORM: NDMLR 10-13&amp;CNON-DISCHARGE MASS LOADING REPORT (NDMLR)&amp;RPage _____ of _____</oddHeader>
  </headerFooter>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hidden="1" min="1" max="1" width="9.13"/>
    <col customWidth="1" min="2" max="2" width="12.38"/>
    <col customWidth="1" min="3" max="3" width="9.88"/>
    <col customWidth="1" min="4" max="6" width="7.13"/>
    <col customWidth="1" min="7" max="7" width="9.88"/>
    <col customWidth="1" min="8" max="10" width="7.13"/>
    <col customWidth="1" min="11" max="11" width="9.88"/>
    <col customWidth="1" min="12" max="14" width="7.13"/>
    <col customWidth="1" min="15" max="15" width="9.88"/>
    <col customWidth="1" min="16" max="18" width="7.13"/>
    <col customWidth="1" min="19" max="19" width="9.88"/>
    <col customWidth="1" min="20" max="22" width="7.13"/>
    <col customWidth="1" min="23" max="26" width="8.63"/>
  </cols>
  <sheetData>
    <row r="1" ht="30.0" customHeight="1">
      <c r="A1" s="1"/>
      <c r="B1" s="113" t="s">
        <v>16</v>
      </c>
      <c r="C1" s="114"/>
      <c r="D1" s="114"/>
      <c r="E1" s="114"/>
      <c r="F1" s="114"/>
      <c r="G1" s="114"/>
      <c r="H1" s="114"/>
      <c r="I1" s="114"/>
      <c r="J1" s="114"/>
      <c r="K1" s="114"/>
      <c r="L1" s="114"/>
      <c r="M1" s="114"/>
      <c r="N1" s="114"/>
      <c r="O1" s="114"/>
      <c r="P1" s="114"/>
      <c r="Q1" s="114"/>
      <c r="R1" s="114"/>
      <c r="S1" s="114"/>
      <c r="T1" s="114"/>
      <c r="U1" s="114"/>
      <c r="V1" s="115"/>
      <c r="W1" s="116"/>
      <c r="X1" s="116"/>
      <c r="Y1" s="116"/>
      <c r="Z1" s="116"/>
    </row>
    <row r="2" ht="30.0" customHeight="1">
      <c r="A2" s="1"/>
      <c r="B2" s="117" t="s">
        <v>17</v>
      </c>
      <c r="C2" s="118"/>
      <c r="D2" s="118"/>
      <c r="E2" s="118"/>
      <c r="F2" s="118"/>
      <c r="G2" s="118"/>
      <c r="H2" s="118"/>
      <c r="I2" s="118"/>
      <c r="J2" s="118"/>
      <c r="K2" s="118"/>
      <c r="L2" s="118"/>
      <c r="M2" s="118"/>
      <c r="N2" s="118"/>
      <c r="O2" s="118"/>
      <c r="P2" s="118"/>
      <c r="Q2" s="118"/>
      <c r="R2" s="118"/>
      <c r="S2" s="118"/>
      <c r="T2" s="118"/>
      <c r="U2" s="118"/>
      <c r="V2" s="119"/>
      <c r="W2" s="14"/>
      <c r="X2" s="14"/>
      <c r="Y2" s="14"/>
      <c r="Z2" s="14"/>
    </row>
    <row r="3" ht="243.75" customHeight="1">
      <c r="A3" s="1"/>
      <c r="B3" s="120"/>
      <c r="C3" s="7"/>
      <c r="D3" s="7"/>
      <c r="E3" s="7"/>
      <c r="F3" s="7"/>
      <c r="G3" s="7"/>
      <c r="H3" s="7"/>
      <c r="I3" s="7"/>
      <c r="J3" s="7"/>
      <c r="K3" s="7"/>
      <c r="L3" s="7"/>
      <c r="M3" s="7"/>
      <c r="N3" s="7"/>
      <c r="O3" s="7"/>
      <c r="P3" s="7"/>
      <c r="Q3" s="7"/>
      <c r="R3" s="7"/>
      <c r="S3" s="7"/>
      <c r="T3" s="7"/>
      <c r="U3" s="7"/>
      <c r="V3" s="8"/>
      <c r="W3" s="14"/>
      <c r="X3" s="14"/>
      <c r="Y3" s="14"/>
      <c r="Z3" s="14"/>
    </row>
    <row r="4" ht="15.0" customHeight="1">
      <c r="A4" s="1"/>
      <c r="B4" s="121"/>
      <c r="C4" s="7"/>
      <c r="D4" s="7"/>
      <c r="E4" s="7"/>
      <c r="F4" s="7"/>
      <c r="G4" s="7"/>
      <c r="H4" s="7"/>
      <c r="I4" s="7"/>
      <c r="J4" s="7"/>
      <c r="K4" s="7"/>
      <c r="L4" s="7"/>
      <c r="M4" s="7"/>
      <c r="N4" s="7"/>
      <c r="O4" s="7"/>
      <c r="P4" s="7"/>
      <c r="Q4" s="7"/>
      <c r="R4" s="7"/>
      <c r="S4" s="7"/>
      <c r="T4" s="7"/>
      <c r="U4" s="7"/>
      <c r="V4" s="4"/>
      <c r="W4" s="14"/>
      <c r="X4" s="14"/>
      <c r="Y4" s="14"/>
      <c r="Z4" s="14"/>
    </row>
    <row r="5" ht="30.75" customHeight="1">
      <c r="A5" s="1"/>
      <c r="B5" s="5" t="s">
        <v>18</v>
      </c>
      <c r="C5" s="7"/>
      <c r="D5" s="7"/>
      <c r="E5" s="7"/>
      <c r="F5" s="7"/>
      <c r="G5" s="7"/>
      <c r="H5" s="7"/>
      <c r="I5" s="7"/>
      <c r="J5" s="7"/>
      <c r="K5" s="7"/>
      <c r="L5" s="122"/>
      <c r="M5" s="123" t="s">
        <v>19</v>
      </c>
      <c r="N5" s="7"/>
      <c r="O5" s="7"/>
      <c r="P5" s="7"/>
      <c r="Q5" s="7"/>
      <c r="R5" s="7"/>
      <c r="S5" s="7"/>
      <c r="T5" s="7"/>
      <c r="U5" s="7"/>
      <c r="V5" s="8"/>
      <c r="W5" s="14"/>
      <c r="X5" s="14"/>
      <c r="Y5" s="14"/>
      <c r="Z5" s="14"/>
    </row>
    <row r="6" ht="30.75" customHeight="1">
      <c r="A6" s="1"/>
      <c r="B6" s="124" t="s">
        <v>20</v>
      </c>
      <c r="C6" s="125"/>
      <c r="D6" s="126"/>
      <c r="E6" s="126"/>
      <c r="F6" s="126"/>
      <c r="G6" s="126"/>
      <c r="H6" s="126"/>
      <c r="I6" s="126"/>
      <c r="J6" s="126"/>
      <c r="K6" s="126"/>
      <c r="L6" s="127"/>
      <c r="M6" s="128" t="s">
        <v>21</v>
      </c>
      <c r="N6" s="129"/>
      <c r="O6" s="130"/>
      <c r="P6" s="131"/>
      <c r="Q6" s="131"/>
      <c r="R6" s="131"/>
      <c r="S6" s="131"/>
      <c r="T6" s="131"/>
      <c r="U6" s="131"/>
      <c r="V6" s="132"/>
      <c r="W6" s="14"/>
      <c r="X6" s="14"/>
      <c r="Y6" s="14"/>
      <c r="Z6" s="14"/>
    </row>
    <row r="7" ht="30.75" customHeight="1">
      <c r="A7" s="1"/>
      <c r="B7" s="133" t="s">
        <v>22</v>
      </c>
      <c r="C7" s="114"/>
      <c r="D7" s="115"/>
      <c r="E7" s="134"/>
      <c r="F7" s="114"/>
      <c r="G7" s="114"/>
      <c r="H7" s="114"/>
      <c r="I7" s="114"/>
      <c r="J7" s="114"/>
      <c r="K7" s="114"/>
      <c r="L7" s="135"/>
      <c r="M7" s="136" t="s">
        <v>23</v>
      </c>
      <c r="N7" s="114"/>
      <c r="O7" s="115"/>
      <c r="P7" s="137"/>
      <c r="Q7" s="114"/>
      <c r="R7" s="114"/>
      <c r="S7" s="114"/>
      <c r="T7" s="114"/>
      <c r="U7" s="114"/>
      <c r="V7" s="138"/>
      <c r="W7" s="14"/>
      <c r="X7" s="14"/>
      <c r="Y7" s="14"/>
      <c r="Z7" s="14"/>
    </row>
    <row r="8" ht="30.75" customHeight="1">
      <c r="A8" s="1"/>
      <c r="B8" s="139" t="s">
        <v>24</v>
      </c>
      <c r="C8" s="140"/>
      <c r="F8" s="141" t="s">
        <v>25</v>
      </c>
      <c r="G8" s="114"/>
      <c r="H8" s="115"/>
      <c r="I8" s="134"/>
      <c r="J8" s="114"/>
      <c r="K8" s="114"/>
      <c r="L8" s="135"/>
      <c r="M8" s="136" t="s">
        <v>26</v>
      </c>
      <c r="N8" s="114"/>
      <c r="O8" s="115"/>
      <c r="P8" s="140"/>
      <c r="V8" s="142"/>
      <c r="W8" s="14"/>
      <c r="X8" s="14"/>
      <c r="Y8" s="14"/>
      <c r="Z8" s="14"/>
    </row>
    <row r="9" ht="30.75" customHeight="1">
      <c r="A9" s="1"/>
      <c r="B9" s="133" t="s">
        <v>27</v>
      </c>
      <c r="C9" s="114"/>
      <c r="D9" s="114"/>
      <c r="E9" s="114"/>
      <c r="F9" s="114"/>
      <c r="G9" s="114"/>
      <c r="H9" s="114"/>
      <c r="I9" s="114"/>
      <c r="J9" s="114"/>
      <c r="K9" s="114"/>
      <c r="L9" s="135"/>
      <c r="M9" s="136" t="s">
        <v>28</v>
      </c>
      <c r="N9" s="115"/>
      <c r="O9" s="134"/>
      <c r="P9" s="114"/>
      <c r="Q9" s="115"/>
      <c r="R9" s="141" t="s">
        <v>29</v>
      </c>
      <c r="S9" s="115"/>
      <c r="T9" s="143"/>
      <c r="U9" s="114"/>
      <c r="V9" s="138"/>
      <c r="W9" s="14"/>
      <c r="X9" s="14"/>
      <c r="Y9" s="14"/>
      <c r="Z9" s="14"/>
    </row>
    <row r="10" ht="22.5" customHeight="1">
      <c r="A10" s="1"/>
      <c r="B10" s="144"/>
      <c r="C10" s="145"/>
      <c r="D10" s="145"/>
      <c r="E10" s="145"/>
      <c r="F10" s="145"/>
      <c r="G10" s="145"/>
      <c r="H10" s="145"/>
      <c r="I10" s="146"/>
      <c r="J10" s="14"/>
      <c r="K10" s="147"/>
      <c r="L10" s="148"/>
      <c r="M10" s="149"/>
      <c r="N10" s="145"/>
      <c r="O10" s="145"/>
      <c r="P10" s="145"/>
      <c r="Q10" s="145"/>
      <c r="R10" s="145"/>
      <c r="S10" s="146"/>
      <c r="T10" s="14"/>
      <c r="U10" s="147"/>
      <c r="V10" s="150"/>
      <c r="W10" s="14"/>
      <c r="X10" s="14"/>
      <c r="Y10" s="14"/>
      <c r="Z10" s="14"/>
    </row>
    <row r="11" ht="22.5" customHeight="1">
      <c r="A11" s="1"/>
      <c r="B11" s="151"/>
      <c r="C11" s="152"/>
      <c r="D11" s="152"/>
      <c r="E11" s="152"/>
      <c r="F11" s="152"/>
      <c r="G11" s="152"/>
      <c r="H11" s="152"/>
      <c r="I11" s="153"/>
      <c r="K11" s="154"/>
      <c r="L11" s="155"/>
      <c r="M11" s="156"/>
      <c r="N11" s="152"/>
      <c r="O11" s="152"/>
      <c r="P11" s="152"/>
      <c r="Q11" s="152"/>
      <c r="R11" s="152"/>
      <c r="S11" s="153"/>
      <c r="U11" s="154"/>
      <c r="V11" s="157"/>
      <c r="W11" s="14"/>
      <c r="X11" s="14"/>
      <c r="Y11" s="14"/>
      <c r="Z11" s="14"/>
    </row>
    <row r="12" ht="30.0" customHeight="1">
      <c r="A12" s="1"/>
      <c r="B12" s="158" t="s">
        <v>30</v>
      </c>
      <c r="C12" s="159"/>
      <c r="D12" s="159"/>
      <c r="E12" s="159"/>
      <c r="F12" s="159"/>
      <c r="G12" s="159"/>
      <c r="H12" s="159"/>
      <c r="I12" s="160"/>
      <c r="K12" s="161" t="s">
        <v>10</v>
      </c>
      <c r="L12" s="162"/>
      <c r="M12" s="163" t="s">
        <v>30</v>
      </c>
      <c r="N12" s="159"/>
      <c r="O12" s="159"/>
      <c r="P12" s="159"/>
      <c r="Q12" s="159"/>
      <c r="R12" s="159"/>
      <c r="S12" s="160"/>
      <c r="U12" s="161" t="s">
        <v>10</v>
      </c>
      <c r="V12" s="164"/>
      <c r="W12" s="14"/>
      <c r="X12" s="14"/>
      <c r="Y12" s="14"/>
      <c r="Z12" s="14"/>
    </row>
    <row r="13" ht="68.25" customHeight="1">
      <c r="A13" s="1"/>
      <c r="B13" s="165" t="s">
        <v>31</v>
      </c>
      <c r="C13" s="118"/>
      <c r="D13" s="118"/>
      <c r="E13" s="118"/>
      <c r="F13" s="118"/>
      <c r="G13" s="118"/>
      <c r="H13" s="118"/>
      <c r="I13" s="118"/>
      <c r="J13" s="118"/>
      <c r="K13" s="118"/>
      <c r="L13" s="166"/>
      <c r="M13" s="167" t="s">
        <v>32</v>
      </c>
      <c r="N13" s="118"/>
      <c r="O13" s="118"/>
      <c r="P13" s="118"/>
      <c r="Q13" s="118"/>
      <c r="R13" s="118"/>
      <c r="S13" s="118"/>
      <c r="T13" s="118"/>
      <c r="U13" s="118"/>
      <c r="V13" s="168"/>
      <c r="W13" s="14"/>
      <c r="X13" s="14"/>
      <c r="Y13" s="14"/>
      <c r="Z13" s="14"/>
    </row>
    <row r="14" ht="15.0" customHeight="1">
      <c r="A14" s="1"/>
      <c r="B14" s="169"/>
      <c r="C14" s="131"/>
      <c r="D14" s="131"/>
      <c r="E14" s="131"/>
      <c r="F14" s="131"/>
      <c r="G14" s="131"/>
      <c r="H14" s="131"/>
      <c r="I14" s="131"/>
      <c r="J14" s="131"/>
      <c r="K14" s="131"/>
      <c r="L14" s="131"/>
      <c r="M14" s="131"/>
      <c r="N14" s="131"/>
      <c r="O14" s="131"/>
      <c r="P14" s="131"/>
      <c r="Q14" s="131"/>
      <c r="R14" s="131"/>
      <c r="S14" s="131"/>
      <c r="T14" s="131"/>
      <c r="U14" s="131"/>
      <c r="V14" s="129"/>
      <c r="W14" s="14"/>
      <c r="X14" s="14"/>
      <c r="Y14" s="14"/>
      <c r="Z14" s="14"/>
    </row>
    <row r="15" ht="15.0" customHeight="1">
      <c r="A15" s="1"/>
      <c r="B15" s="170" t="s">
        <v>33</v>
      </c>
      <c r="C15" s="114"/>
      <c r="D15" s="114"/>
      <c r="E15" s="114"/>
      <c r="F15" s="114"/>
      <c r="G15" s="114"/>
      <c r="H15" s="114"/>
      <c r="I15" s="114"/>
      <c r="J15" s="114"/>
      <c r="K15" s="114"/>
      <c r="L15" s="114"/>
      <c r="M15" s="114"/>
      <c r="N15" s="114"/>
      <c r="O15" s="114"/>
      <c r="P15" s="114"/>
      <c r="Q15" s="114"/>
      <c r="R15" s="114"/>
      <c r="S15" s="114"/>
      <c r="T15" s="114"/>
      <c r="U15" s="114"/>
      <c r="V15" s="115"/>
      <c r="W15" s="14"/>
      <c r="X15" s="14"/>
      <c r="Y15" s="14"/>
      <c r="Z15" s="14"/>
    </row>
    <row r="16" ht="15.0" customHeight="1">
      <c r="A16" s="1"/>
      <c r="B16" s="170" t="s">
        <v>34</v>
      </c>
      <c r="C16" s="114"/>
      <c r="D16" s="114"/>
      <c r="E16" s="114"/>
      <c r="F16" s="114"/>
      <c r="G16" s="114"/>
      <c r="H16" s="114"/>
      <c r="I16" s="114"/>
      <c r="J16" s="114"/>
      <c r="K16" s="114"/>
      <c r="L16" s="114"/>
      <c r="M16" s="114"/>
      <c r="N16" s="114"/>
      <c r="O16" s="114"/>
      <c r="P16" s="114"/>
      <c r="Q16" s="114"/>
      <c r="R16" s="114"/>
      <c r="S16" s="114"/>
      <c r="T16" s="114"/>
      <c r="U16" s="114"/>
      <c r="V16" s="115"/>
      <c r="W16" s="14"/>
      <c r="X16" s="14"/>
      <c r="Y16" s="14"/>
      <c r="Z16" s="14"/>
    </row>
    <row r="17" ht="15.0" customHeight="1">
      <c r="A17" s="1"/>
      <c r="B17" s="170" t="s">
        <v>35</v>
      </c>
      <c r="C17" s="114"/>
      <c r="D17" s="114"/>
      <c r="E17" s="114"/>
      <c r="F17" s="114"/>
      <c r="G17" s="114"/>
      <c r="H17" s="114"/>
      <c r="I17" s="114"/>
      <c r="J17" s="114"/>
      <c r="K17" s="114"/>
      <c r="L17" s="114"/>
      <c r="M17" s="114"/>
      <c r="N17" s="114"/>
      <c r="O17" s="114"/>
      <c r="P17" s="114"/>
      <c r="Q17" s="114"/>
      <c r="R17" s="114"/>
      <c r="S17" s="114"/>
      <c r="T17" s="114"/>
      <c r="U17" s="114"/>
      <c r="V17" s="115"/>
      <c r="W17" s="14"/>
      <c r="X17" s="14"/>
      <c r="Y17" s="14"/>
      <c r="Z17" s="14"/>
    </row>
    <row r="18" ht="15.0" customHeight="1">
      <c r="A18" s="1"/>
      <c r="B18" s="170" t="s">
        <v>36</v>
      </c>
      <c r="C18" s="114"/>
      <c r="D18" s="114"/>
      <c r="E18" s="114"/>
      <c r="F18" s="114"/>
      <c r="G18" s="114"/>
      <c r="H18" s="114"/>
      <c r="I18" s="114"/>
      <c r="J18" s="114"/>
      <c r="K18" s="114"/>
      <c r="L18" s="114"/>
      <c r="M18" s="114"/>
      <c r="N18" s="114"/>
      <c r="O18" s="114"/>
      <c r="P18" s="114"/>
      <c r="Q18" s="114"/>
      <c r="R18" s="114"/>
      <c r="S18" s="114"/>
      <c r="T18" s="114"/>
      <c r="U18" s="114"/>
      <c r="V18" s="115"/>
      <c r="W18" s="14"/>
      <c r="X18" s="14"/>
      <c r="Y18" s="14"/>
      <c r="Z18" s="14"/>
    </row>
    <row r="19" ht="15.0" customHeight="1">
      <c r="A19" s="1"/>
      <c r="B19" s="170" t="s">
        <v>37</v>
      </c>
      <c r="C19" s="114"/>
      <c r="D19" s="114"/>
      <c r="E19" s="114"/>
      <c r="F19" s="114"/>
      <c r="G19" s="114"/>
      <c r="H19" s="114"/>
      <c r="I19" s="114"/>
      <c r="J19" s="114"/>
      <c r="K19" s="114"/>
      <c r="L19" s="114"/>
      <c r="M19" s="114"/>
      <c r="N19" s="114"/>
      <c r="O19" s="114"/>
      <c r="P19" s="114"/>
      <c r="Q19" s="114"/>
      <c r="R19" s="114"/>
      <c r="S19" s="114"/>
      <c r="T19" s="114"/>
      <c r="U19" s="114"/>
      <c r="V19" s="115"/>
      <c r="W19" s="14"/>
      <c r="X19" s="14"/>
      <c r="Y19" s="14"/>
      <c r="Z19" s="14"/>
    </row>
    <row r="20" ht="12.75" customHeight="1">
      <c r="A20" s="1"/>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ht="12.75" customHeight="1">
      <c r="A21" s="1"/>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2.75" customHeight="1">
      <c r="A22" s="1"/>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2.75" customHeight="1">
      <c r="A23" s="1"/>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2.75" customHeight="1">
      <c r="A24" s="1"/>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2.75" customHeight="1">
      <c r="A25" s="1"/>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2.75" customHeight="1">
      <c r="A26" s="1"/>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2.75" customHeight="1">
      <c r="A27" s="1"/>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2.75" customHeight="1">
      <c r="A28" s="1"/>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2.75" customHeight="1">
      <c r="A29" s="1"/>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2.75" customHeight="1">
      <c r="A30" s="1"/>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2.75" customHeight="1">
      <c r="A31" s="1"/>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2.75" customHeight="1">
      <c r="A32" s="1"/>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2.75" customHeight="1">
      <c r="A33" s="1"/>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2.75" customHeight="1">
      <c r="A34" s="1"/>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2.75" customHeight="1">
      <c r="A35" s="1"/>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2.75" customHeight="1">
      <c r="A36" s="1"/>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2.75" customHeight="1">
      <c r="A37" s="1"/>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2.75" customHeight="1">
      <c r="A38" s="1"/>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2.75" customHeight="1">
      <c r="A39" s="1"/>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2.75" customHeight="1">
      <c r="A40" s="1"/>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2.75" customHeight="1">
      <c r="A41" s="1"/>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2.75" customHeight="1">
      <c r="A42" s="1"/>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2.75" customHeight="1">
      <c r="A43" s="1"/>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2.75" customHeight="1">
      <c r="A44" s="1"/>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2.75" customHeight="1">
      <c r="A45" s="1"/>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2.75" customHeight="1">
      <c r="A46" s="1"/>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2.75" customHeight="1">
      <c r="A47" s="1"/>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2.75" customHeight="1">
      <c r="A48" s="1"/>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2.75" customHeight="1">
      <c r="A49" s="1"/>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2.75" customHeight="1">
      <c r="A50" s="1"/>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2.75" customHeight="1">
      <c r="A51" s="1"/>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2.75" customHeight="1">
      <c r="A52" s="1"/>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2.75" customHeight="1">
      <c r="A53" s="1"/>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2.75" customHeight="1">
      <c r="A54" s="1"/>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2.75" customHeight="1">
      <c r="A55" s="1"/>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2.75" customHeight="1">
      <c r="A56" s="1"/>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2.75" customHeight="1">
      <c r="A57" s="1"/>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2.75" customHeight="1">
      <c r="A58" s="1"/>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2.75" customHeight="1">
      <c r="A59" s="1"/>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2.75" customHeight="1">
      <c r="A60" s="1"/>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2.75" customHeight="1">
      <c r="A61" s="1"/>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2.75" customHeight="1">
      <c r="A62" s="1"/>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2.75" customHeight="1">
      <c r="A63" s="1"/>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2.75" customHeight="1">
      <c r="A64" s="1"/>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2.75" customHeight="1">
      <c r="A65" s="1"/>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2.75" customHeight="1">
      <c r="A66" s="1"/>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2.75" customHeight="1">
      <c r="A67" s="1"/>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2.75" customHeight="1">
      <c r="A68" s="1"/>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2.75" customHeight="1">
      <c r="A69" s="1"/>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2.75" customHeight="1">
      <c r="A70" s="1"/>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2.75" customHeight="1">
      <c r="A71" s="1"/>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2.75" customHeight="1">
      <c r="A72" s="1"/>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2.75" customHeight="1">
      <c r="A73" s="1"/>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2.75" customHeight="1">
      <c r="A74" s="1"/>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2.75" customHeight="1">
      <c r="A75" s="1"/>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2.75" customHeight="1">
      <c r="A76" s="1"/>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2.75" customHeight="1">
      <c r="A77" s="1"/>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2.75" customHeight="1">
      <c r="A78" s="1"/>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2.75" customHeight="1">
      <c r="A79" s="1"/>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2.75" customHeight="1">
      <c r="A80" s="1"/>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2.75" customHeight="1">
      <c r="A81" s="1"/>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2.75" customHeight="1">
      <c r="A82" s="1"/>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2.75" customHeight="1">
      <c r="A83" s="1"/>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2.75" customHeight="1">
      <c r="A84" s="1"/>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2.75" customHeight="1">
      <c r="A85" s="1"/>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2.75" customHeight="1">
      <c r="A86" s="1"/>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2.75" customHeight="1">
      <c r="A87" s="1"/>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2.75" customHeight="1">
      <c r="A88" s="1"/>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2.75" customHeight="1">
      <c r="A89" s="1"/>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2.75" customHeight="1">
      <c r="A90" s="1"/>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2.75" customHeight="1">
      <c r="A91" s="1"/>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2.75" customHeight="1">
      <c r="A92" s="1"/>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2.75" customHeight="1">
      <c r="A93" s="1"/>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2.75" customHeight="1">
      <c r="A94" s="1"/>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2.75" customHeight="1">
      <c r="A95" s="1"/>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2.75" customHeight="1">
      <c r="A96" s="1"/>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2.75" customHeight="1">
      <c r="A97" s="1"/>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2.75" customHeight="1">
      <c r="A98" s="1"/>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2.75" customHeight="1">
      <c r="A99" s="1"/>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2.75" customHeight="1">
      <c r="A100" s="1"/>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2.75" customHeight="1">
      <c r="A101" s="1"/>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2.75" customHeight="1">
      <c r="A102" s="1"/>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2.75" customHeight="1">
      <c r="A103" s="1"/>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2.75" customHeight="1">
      <c r="A104" s="1"/>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2.75" customHeight="1">
      <c r="A105" s="1"/>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2.75" customHeight="1">
      <c r="A106" s="1"/>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2.75" customHeight="1">
      <c r="A107" s="1"/>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2.75" customHeight="1">
      <c r="A108" s="1"/>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2.75" customHeight="1">
      <c r="A109" s="1"/>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2.75" customHeight="1">
      <c r="A110" s="1"/>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2.75" customHeight="1">
      <c r="A111" s="1"/>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2.75" customHeight="1">
      <c r="A112" s="1"/>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2.75" customHeight="1">
      <c r="A113" s="1"/>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2.75" customHeight="1">
      <c r="A114" s="1"/>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2.75" customHeight="1">
      <c r="A115" s="1"/>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2.75" customHeight="1">
      <c r="A116" s="1"/>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2.75" customHeight="1">
      <c r="A117" s="1"/>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2.75" customHeight="1">
      <c r="A118" s="1"/>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2.75" customHeight="1">
      <c r="A119" s="1"/>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2.75" customHeight="1">
      <c r="A120" s="1"/>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2.75" customHeight="1">
      <c r="A121" s="1"/>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2.75" customHeight="1">
      <c r="A122" s="1"/>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2.75" customHeight="1">
      <c r="A123" s="1"/>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2.75" customHeight="1">
      <c r="A124" s="1"/>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2.75" customHeight="1">
      <c r="A125" s="1"/>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2.75" customHeight="1">
      <c r="A126" s="1"/>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2.75" customHeight="1">
      <c r="A127" s="1"/>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2.75" customHeight="1">
      <c r="A128" s="1"/>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2.75" customHeight="1">
      <c r="A129" s="1"/>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2.75" customHeight="1">
      <c r="A130" s="1"/>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2.75" customHeight="1">
      <c r="A131" s="1"/>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2.75" customHeight="1">
      <c r="A132" s="1"/>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2.75" customHeight="1">
      <c r="A133" s="1"/>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2.75" customHeight="1">
      <c r="A134" s="1"/>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2.75" customHeight="1">
      <c r="A135" s="1"/>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2.75" customHeight="1">
      <c r="A136" s="1"/>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2.75" customHeight="1">
      <c r="A137" s="1"/>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2.75" customHeight="1">
      <c r="A138" s="1"/>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2.75" customHeight="1">
      <c r="A139" s="1"/>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2.75" customHeight="1">
      <c r="A140" s="1"/>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2.75" customHeight="1">
      <c r="A141" s="1"/>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2.75" customHeight="1">
      <c r="A142" s="1"/>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2.75" customHeight="1">
      <c r="A143" s="1"/>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2.75" customHeight="1">
      <c r="A144" s="1"/>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2.75" customHeight="1">
      <c r="A145" s="1"/>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2.75" customHeight="1">
      <c r="A146" s="1"/>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2.75" customHeight="1">
      <c r="A147" s="1"/>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2.75" customHeight="1">
      <c r="A148" s="1"/>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2.75" customHeight="1">
      <c r="A149" s="1"/>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2.75" customHeight="1">
      <c r="A150" s="1"/>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2.75" customHeight="1">
      <c r="A151" s="1"/>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2.75" customHeight="1">
      <c r="A152" s="1"/>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2.75" customHeight="1">
      <c r="A153" s="1"/>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2.75" customHeight="1">
      <c r="A154" s="1"/>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2.75" customHeight="1">
      <c r="A155" s="1"/>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2.75" customHeight="1">
      <c r="A156" s="1"/>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2.75" customHeight="1">
      <c r="A157" s="1"/>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2.75" customHeight="1">
      <c r="A158" s="1"/>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2.75" customHeight="1">
      <c r="A159" s="1"/>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2.75" customHeight="1">
      <c r="A160" s="1"/>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2.75" customHeight="1">
      <c r="A161" s="1"/>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2.75" customHeight="1">
      <c r="A162" s="1"/>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2.75" customHeight="1">
      <c r="A163" s="1"/>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2.75" customHeight="1">
      <c r="A164" s="1"/>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2.75" customHeight="1">
      <c r="A165" s="1"/>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2.75" customHeight="1">
      <c r="A166" s="1"/>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2.75" customHeight="1">
      <c r="A167" s="1"/>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2.75" customHeight="1">
      <c r="A168" s="1"/>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2.75" customHeight="1">
      <c r="A169" s="1"/>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2.75" customHeight="1">
      <c r="A170" s="1"/>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2.75" customHeight="1">
      <c r="A171" s="1"/>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2.75" customHeight="1">
      <c r="A172" s="1"/>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2.75" customHeight="1">
      <c r="A173" s="1"/>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2.75" customHeight="1">
      <c r="A174" s="1"/>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2.75" customHeight="1">
      <c r="A175" s="1"/>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2.75" customHeight="1">
      <c r="A176" s="1"/>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2.75" customHeight="1">
      <c r="A177" s="1"/>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2.75" customHeight="1">
      <c r="A178" s="1"/>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2.75" customHeight="1">
      <c r="A179" s="1"/>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2.75" customHeight="1">
      <c r="A180" s="1"/>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2.75" customHeight="1">
      <c r="A181" s="1"/>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2.75" customHeight="1">
      <c r="A182" s="1"/>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2.75" customHeight="1">
      <c r="A183" s="1"/>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2.75" customHeight="1">
      <c r="A184" s="1"/>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2.75" customHeight="1">
      <c r="A185" s="1"/>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2.75" customHeight="1">
      <c r="A186" s="1"/>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2.75" customHeight="1">
      <c r="A187" s="1"/>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2.75" customHeight="1">
      <c r="A188" s="1"/>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2.75" customHeight="1">
      <c r="A189" s="1"/>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2.75" customHeight="1">
      <c r="A190" s="1"/>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2.75" customHeight="1">
      <c r="A191" s="1"/>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2.75" customHeight="1">
      <c r="A192" s="1"/>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2.75" customHeight="1">
      <c r="A193" s="1"/>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2.75" customHeight="1">
      <c r="A194" s="1"/>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2.75" customHeight="1">
      <c r="A195" s="1"/>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2.75" customHeight="1">
      <c r="A196" s="1"/>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2.75" customHeight="1">
      <c r="A197" s="1"/>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2.75" customHeight="1">
      <c r="A198" s="1"/>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2.75" customHeight="1">
      <c r="A199" s="1"/>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2.75" customHeight="1">
      <c r="A200" s="1"/>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2.75" customHeight="1">
      <c r="A201" s="1"/>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2.75" customHeight="1">
      <c r="A202" s="1"/>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2.75" customHeight="1">
      <c r="A203" s="1"/>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2.75" customHeight="1">
      <c r="A204" s="1"/>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2.75" customHeight="1">
      <c r="A205" s="1"/>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2.75" customHeight="1">
      <c r="A206" s="1"/>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2.75" customHeight="1">
      <c r="A207" s="1"/>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2.75" customHeight="1">
      <c r="A208" s="1"/>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2.75" customHeight="1">
      <c r="A209" s="1"/>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2.75" customHeight="1">
      <c r="A210" s="1"/>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2.75" customHeight="1">
      <c r="A211" s="1"/>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2.75" customHeight="1">
      <c r="A212" s="1"/>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2.75" customHeight="1">
      <c r="A213" s="1"/>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2.75" customHeight="1">
      <c r="A214" s="1"/>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2.75" customHeight="1">
      <c r="A215" s="1"/>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2.75" customHeight="1">
      <c r="A216" s="1"/>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2.75" customHeight="1">
      <c r="A217" s="1"/>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2.75" customHeight="1">
      <c r="A218" s="1"/>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2.75" customHeight="1">
      <c r="A219" s="1"/>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2.75" customHeight="1">
      <c r="A220" s="1"/>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2.75" customHeight="1">
      <c r="A221" s="1"/>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2.75" customHeight="1">
      <c r="A222" s="1"/>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2.75" customHeight="1">
      <c r="A223" s="1"/>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2.75" customHeight="1">
      <c r="A224" s="1"/>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2.75" customHeight="1">
      <c r="A225" s="1"/>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2.75" customHeight="1">
      <c r="A226" s="1"/>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2.75" customHeight="1">
      <c r="A227" s="1"/>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2.75" customHeight="1">
      <c r="A228" s="1"/>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2.75" customHeight="1">
      <c r="A229" s="1"/>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2.75" customHeight="1">
      <c r="A230" s="1"/>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2.75" customHeight="1">
      <c r="A231" s="1"/>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2.75" customHeight="1">
      <c r="A232" s="1"/>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2.75" customHeight="1">
      <c r="A233" s="1"/>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2.75" customHeight="1">
      <c r="A234" s="1"/>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2.75" customHeight="1">
      <c r="A235" s="1"/>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2.75" customHeight="1">
      <c r="A236" s="1"/>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2.75" customHeight="1">
      <c r="A237" s="1"/>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2.75" customHeight="1">
      <c r="A238" s="1"/>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2.75" customHeight="1">
      <c r="A239" s="1"/>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2.75" customHeight="1">
      <c r="A240" s="1"/>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2.75" customHeight="1">
      <c r="A241" s="1"/>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2.75" customHeight="1">
      <c r="A242" s="1"/>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2.75" customHeight="1">
      <c r="A243" s="1"/>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2.75" customHeight="1">
      <c r="A244" s="1"/>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2.75" customHeight="1">
      <c r="A245" s="1"/>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2.75" customHeight="1">
      <c r="A246" s="1"/>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2.75" customHeight="1">
      <c r="A247" s="1"/>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2.75" customHeight="1">
      <c r="A248" s="1"/>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2.75" customHeight="1">
      <c r="A249" s="1"/>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2.75" customHeight="1">
      <c r="A250" s="1"/>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2.75" customHeight="1">
      <c r="A251" s="1"/>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2.75" customHeight="1">
      <c r="A252" s="1"/>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2.75" customHeight="1">
      <c r="A253" s="1"/>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2.75" customHeight="1">
      <c r="A254" s="1"/>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2.75" customHeight="1">
      <c r="A255" s="1"/>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2.75" customHeight="1">
      <c r="A256" s="1"/>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2.75" customHeight="1">
      <c r="A257" s="1"/>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2.75" customHeight="1">
      <c r="A258" s="1"/>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2.75" customHeight="1">
      <c r="A259" s="1"/>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2.75" customHeight="1">
      <c r="A260" s="1"/>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2.75" customHeight="1">
      <c r="A261" s="1"/>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2.75" customHeight="1">
      <c r="A262" s="1"/>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2.75" customHeight="1">
      <c r="A263" s="1"/>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2.75" customHeight="1">
      <c r="A264" s="1"/>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2.75" customHeight="1">
      <c r="A265" s="1"/>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2.75" customHeight="1">
      <c r="A266" s="1"/>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2.75" customHeight="1">
      <c r="A267" s="1"/>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2.75" customHeight="1">
      <c r="A268" s="1"/>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2.75" customHeight="1">
      <c r="A269" s="1"/>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2.75" customHeight="1">
      <c r="A270" s="1"/>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2.75" customHeight="1">
      <c r="A271" s="1"/>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2.75" customHeight="1">
      <c r="A272" s="1"/>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2.75" customHeight="1">
      <c r="A273" s="1"/>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2.75" customHeight="1">
      <c r="A274" s="1"/>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2.75" customHeight="1">
      <c r="A275" s="1"/>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2.75" customHeight="1">
      <c r="A276" s="1"/>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2.75" customHeight="1">
      <c r="A277" s="1"/>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2.75" customHeight="1">
      <c r="A278" s="1"/>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2.75" customHeight="1">
      <c r="A279" s="1"/>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2.75" customHeight="1">
      <c r="A280" s="1"/>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2.75" customHeight="1">
      <c r="A281" s="1"/>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2.75" customHeight="1">
      <c r="A282" s="1"/>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2.75" customHeight="1">
      <c r="A283" s="1"/>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2.75" customHeight="1">
      <c r="A284" s="1"/>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2.75" customHeight="1">
      <c r="A285" s="1"/>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2.75" customHeight="1">
      <c r="A286" s="1"/>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2.75" customHeight="1">
      <c r="A287" s="1"/>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2.75" customHeight="1">
      <c r="A288" s="1"/>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2.75" customHeight="1">
      <c r="A289" s="1"/>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2.75" customHeight="1">
      <c r="A290" s="1"/>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2.75" customHeight="1">
      <c r="A291" s="1"/>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2.75" customHeight="1">
      <c r="A292" s="1"/>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2.75" customHeight="1">
      <c r="A293" s="1"/>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2.75" customHeight="1">
      <c r="A294" s="1"/>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2.75" customHeight="1">
      <c r="A295" s="1"/>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2.75" customHeight="1">
      <c r="A296" s="1"/>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2.75" customHeight="1">
      <c r="A297" s="1"/>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2.75" customHeight="1">
      <c r="A298" s="1"/>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2.75" customHeight="1">
      <c r="A299" s="1"/>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2.75" customHeight="1">
      <c r="A300" s="1"/>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2.75" customHeight="1">
      <c r="A301" s="1"/>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2.75" customHeight="1">
      <c r="A302" s="1"/>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2.75" customHeight="1">
      <c r="A303" s="1"/>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2.75" customHeight="1">
      <c r="A304" s="1"/>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2.75" customHeight="1">
      <c r="A305" s="1"/>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2.75" customHeight="1">
      <c r="A306" s="1"/>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2.75" customHeight="1">
      <c r="A307" s="1"/>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2.75" customHeight="1">
      <c r="A308" s="1"/>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2.75" customHeight="1">
      <c r="A309" s="1"/>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2.75" customHeight="1">
      <c r="A310" s="1"/>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2.75" customHeight="1">
      <c r="A311" s="1"/>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2.75" customHeight="1">
      <c r="A312" s="1"/>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2.75" customHeight="1">
      <c r="A313" s="1"/>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2.75" customHeight="1">
      <c r="A314" s="1"/>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2.75" customHeight="1">
      <c r="A315" s="1"/>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2.75" customHeight="1">
      <c r="A316" s="1"/>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2.75" customHeight="1">
      <c r="A317" s="1"/>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2.75" customHeight="1">
      <c r="A318" s="1"/>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2.75" customHeight="1">
      <c r="A319" s="1"/>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2.75" customHeight="1">
      <c r="A320" s="1"/>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2.75" customHeight="1">
      <c r="A321" s="1"/>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2.75" customHeight="1">
      <c r="A322" s="1"/>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2.75" customHeight="1">
      <c r="A323" s="1"/>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2.75" customHeight="1">
      <c r="A324" s="1"/>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2.75" customHeight="1">
      <c r="A325" s="1"/>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2.75" customHeight="1">
      <c r="A326" s="1"/>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2.75" customHeight="1">
      <c r="A327" s="1"/>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2.75" customHeight="1">
      <c r="A328" s="1"/>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2.75" customHeight="1">
      <c r="A329" s="1"/>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2.75" customHeight="1">
      <c r="A330" s="1"/>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2.75" customHeight="1">
      <c r="A331" s="1"/>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2.75" customHeight="1">
      <c r="A332" s="1"/>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2.75" customHeight="1">
      <c r="A333" s="1"/>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2.75" customHeight="1">
      <c r="A334" s="1"/>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2.75" customHeight="1">
      <c r="A335" s="1"/>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2.75" customHeight="1">
      <c r="A336" s="1"/>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2.75" customHeight="1">
      <c r="A337" s="1"/>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2.75" customHeight="1">
      <c r="A338" s="1"/>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2.75" customHeight="1">
      <c r="A339" s="1"/>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2.75" customHeight="1">
      <c r="A340" s="1"/>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2.75" customHeight="1">
      <c r="A341" s="1"/>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2.75" customHeight="1">
      <c r="A342" s="1"/>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2.75" customHeight="1">
      <c r="A343" s="1"/>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2.75" customHeight="1">
      <c r="A344" s="1"/>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2.75" customHeight="1">
      <c r="A345" s="1"/>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2.75" customHeight="1">
      <c r="A346" s="1"/>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2.75" customHeight="1">
      <c r="A347" s="1"/>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2.75" customHeight="1">
      <c r="A348" s="1"/>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2.75" customHeight="1">
      <c r="A349" s="1"/>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2.75" customHeight="1">
      <c r="A350" s="1"/>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2.75" customHeight="1">
      <c r="A351" s="1"/>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2.75" customHeight="1">
      <c r="A352" s="1"/>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2.75" customHeight="1">
      <c r="A353" s="1"/>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2.75" customHeight="1">
      <c r="A354" s="1"/>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2.75" customHeight="1">
      <c r="A355" s="1"/>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2.75" customHeight="1">
      <c r="A356" s="1"/>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2.75" customHeight="1">
      <c r="A357" s="1"/>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2.75" customHeight="1">
      <c r="A358" s="1"/>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2.75" customHeight="1">
      <c r="A359" s="1"/>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2.75" customHeight="1">
      <c r="A360" s="1"/>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2.75" customHeight="1">
      <c r="A361" s="1"/>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2.75" customHeight="1">
      <c r="A362" s="1"/>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2.75" customHeight="1">
      <c r="A363" s="1"/>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2.75" customHeight="1">
      <c r="A364" s="1"/>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2.75" customHeight="1">
      <c r="A365" s="1"/>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2.75" customHeight="1">
      <c r="A366" s="1"/>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2.75" customHeight="1">
      <c r="A367" s="1"/>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2.75" customHeight="1">
      <c r="A368" s="1"/>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2.75" customHeight="1">
      <c r="A369" s="1"/>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2.75" customHeight="1">
      <c r="A370" s="1"/>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2.75" customHeight="1">
      <c r="A371" s="1"/>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2.75" customHeight="1">
      <c r="A372" s="1"/>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2.75" customHeight="1">
      <c r="A373" s="1"/>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2.75" customHeight="1">
      <c r="A374" s="1"/>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2.75" customHeight="1">
      <c r="A375" s="1"/>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2.75" customHeight="1">
      <c r="A376" s="1"/>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2.75" customHeight="1">
      <c r="A377" s="1"/>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2.75" customHeight="1">
      <c r="A378" s="1"/>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2.75" customHeight="1">
      <c r="A379" s="1"/>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2.75" customHeight="1">
      <c r="A380" s="1"/>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2.75" customHeight="1">
      <c r="A381" s="1"/>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2.75" customHeight="1">
      <c r="A382" s="1"/>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2.75" customHeight="1">
      <c r="A383" s="1"/>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2.75" customHeight="1">
      <c r="A384" s="1"/>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2.75" customHeight="1">
      <c r="A385" s="1"/>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2.75" customHeight="1">
      <c r="A386" s="1"/>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2.75" customHeight="1">
      <c r="A387" s="1"/>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2.75" customHeight="1">
      <c r="A388" s="1"/>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2.75" customHeight="1">
      <c r="A389" s="1"/>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2.75" customHeight="1">
      <c r="A390" s="1"/>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2.75" customHeight="1">
      <c r="A391" s="1"/>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2.75" customHeight="1">
      <c r="A392" s="1"/>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2.75" customHeight="1">
      <c r="A393" s="1"/>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2.75" customHeight="1">
      <c r="A394" s="1"/>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2.75" customHeight="1">
      <c r="A395" s="1"/>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2.75" customHeight="1">
      <c r="A396" s="1"/>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2.75" customHeight="1">
      <c r="A397" s="1"/>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2.75" customHeight="1">
      <c r="A398" s="1"/>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2.75" customHeight="1">
      <c r="A399" s="1"/>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2.75" customHeight="1">
      <c r="A400" s="1"/>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2.75" customHeight="1">
      <c r="A401" s="1"/>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2.75" customHeight="1">
      <c r="A402" s="1"/>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2.75" customHeight="1">
      <c r="A403" s="1"/>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2.75" customHeight="1">
      <c r="A404" s="1"/>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2.75" customHeight="1">
      <c r="A405" s="1"/>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2.75" customHeight="1">
      <c r="A406" s="1"/>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2.75" customHeight="1">
      <c r="A407" s="1"/>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2.75" customHeight="1">
      <c r="A408" s="1"/>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2.75" customHeight="1">
      <c r="A409" s="1"/>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2.75" customHeight="1">
      <c r="A410" s="1"/>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2.75" customHeight="1">
      <c r="A411" s="1"/>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2.75" customHeight="1">
      <c r="A412" s="1"/>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2.75" customHeight="1">
      <c r="A413" s="1"/>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2.75" customHeight="1">
      <c r="A414" s="1"/>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2.75" customHeight="1">
      <c r="A415" s="1"/>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2.75" customHeight="1">
      <c r="A416" s="1"/>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2.75" customHeight="1">
      <c r="A417" s="1"/>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2.75" customHeight="1">
      <c r="A418" s="1"/>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2.75" customHeight="1">
      <c r="A419" s="1"/>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2.75" customHeight="1">
      <c r="A420" s="1"/>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2.75" customHeight="1">
      <c r="A421" s="1"/>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2.75" customHeight="1">
      <c r="A422" s="1"/>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2.75" customHeight="1">
      <c r="A423" s="1"/>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2.75" customHeight="1">
      <c r="A424" s="1"/>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2.75" customHeight="1">
      <c r="A425" s="1"/>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2.75" customHeight="1">
      <c r="A426" s="1"/>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2.75" customHeight="1">
      <c r="A427" s="1"/>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2.75" customHeight="1">
      <c r="A428" s="1"/>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2.75" customHeight="1">
      <c r="A429" s="1"/>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2.75" customHeight="1">
      <c r="A430" s="1"/>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2.75" customHeight="1">
      <c r="A431" s="1"/>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2.75" customHeight="1">
      <c r="A432" s="1"/>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2.75" customHeight="1">
      <c r="A433" s="1"/>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2.75" customHeight="1">
      <c r="A434" s="1"/>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2.75" customHeight="1">
      <c r="A435" s="1"/>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2.75" customHeight="1">
      <c r="A436" s="1"/>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2.75" customHeight="1">
      <c r="A437" s="1"/>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2.75" customHeight="1">
      <c r="A438" s="1"/>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2.75" customHeight="1">
      <c r="A439" s="1"/>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2.75" customHeight="1">
      <c r="A440" s="1"/>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2.75" customHeight="1">
      <c r="A441" s="1"/>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2.75" customHeight="1">
      <c r="A442" s="1"/>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2.75" customHeight="1">
      <c r="A443" s="1"/>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2.75" customHeight="1">
      <c r="A444" s="1"/>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2.75" customHeight="1">
      <c r="A445" s="1"/>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2.75" customHeight="1">
      <c r="A446" s="1"/>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2.75" customHeight="1">
      <c r="A447" s="1"/>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2.75" customHeight="1">
      <c r="A448" s="1"/>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2.75" customHeight="1">
      <c r="A449" s="1"/>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2.75" customHeight="1">
      <c r="A450" s="1"/>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2.75" customHeight="1">
      <c r="A451" s="1"/>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2.75" customHeight="1">
      <c r="A452" s="1"/>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2.75" customHeight="1">
      <c r="A453" s="1"/>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2.75" customHeight="1">
      <c r="A454" s="1"/>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2.75" customHeight="1">
      <c r="A455" s="1"/>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2.75" customHeight="1">
      <c r="A456" s="1"/>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2.75" customHeight="1">
      <c r="A457" s="1"/>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2.75" customHeight="1">
      <c r="A458" s="1"/>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2.75" customHeight="1">
      <c r="A459" s="1"/>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2.75" customHeight="1">
      <c r="A460" s="1"/>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2.75" customHeight="1">
      <c r="A461" s="1"/>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2.75" customHeight="1">
      <c r="A462" s="1"/>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2.75" customHeight="1">
      <c r="A463" s="1"/>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2.75" customHeight="1">
      <c r="A464" s="1"/>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2.75" customHeight="1">
      <c r="A465" s="1"/>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2.75" customHeight="1">
      <c r="A466" s="1"/>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2.75" customHeight="1">
      <c r="A467" s="1"/>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2.75" customHeight="1">
      <c r="A468" s="1"/>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2.75" customHeight="1">
      <c r="A469" s="1"/>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2.75" customHeight="1">
      <c r="A470" s="1"/>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2.75" customHeight="1">
      <c r="A471" s="1"/>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2.75" customHeight="1">
      <c r="A472" s="1"/>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2.75" customHeight="1">
      <c r="A473" s="1"/>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2.75" customHeight="1">
      <c r="A474" s="1"/>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2.75" customHeight="1">
      <c r="A475" s="1"/>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2.75" customHeight="1">
      <c r="A476" s="1"/>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2.75" customHeight="1">
      <c r="A477" s="1"/>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2.75" customHeight="1">
      <c r="A478" s="1"/>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2.75" customHeight="1">
      <c r="A479" s="1"/>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2.75" customHeight="1">
      <c r="A480" s="1"/>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2.75" customHeight="1">
      <c r="A481" s="1"/>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2.75" customHeight="1">
      <c r="A482" s="1"/>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2.75" customHeight="1">
      <c r="A483" s="1"/>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2.75" customHeight="1">
      <c r="A484" s="1"/>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2.75" customHeight="1">
      <c r="A485" s="1"/>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2.75" customHeight="1">
      <c r="A486" s="1"/>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2.75" customHeight="1">
      <c r="A487" s="1"/>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2.75" customHeight="1">
      <c r="A488" s="1"/>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2.75" customHeight="1">
      <c r="A489" s="1"/>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2.75" customHeight="1">
      <c r="A490" s="1"/>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2.75" customHeight="1">
      <c r="A491" s="1"/>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2.75" customHeight="1">
      <c r="A492" s="1"/>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2.75" customHeight="1">
      <c r="A493" s="1"/>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2.75" customHeight="1">
      <c r="A494" s="1"/>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2.75" customHeight="1">
      <c r="A495" s="1"/>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2.75" customHeight="1">
      <c r="A496" s="1"/>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2.75" customHeight="1">
      <c r="A497" s="1"/>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2.75" customHeight="1">
      <c r="A498" s="1"/>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2.75" customHeight="1">
      <c r="A499" s="1"/>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2.75" customHeight="1">
      <c r="A500" s="1"/>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2.75" customHeight="1">
      <c r="A501" s="1"/>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2.75" customHeight="1">
      <c r="A502" s="1"/>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2.75" customHeight="1">
      <c r="A503" s="1"/>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2.75" customHeight="1">
      <c r="A504" s="1"/>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2.75" customHeight="1">
      <c r="A505" s="1"/>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2.75" customHeight="1">
      <c r="A506" s="1"/>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2.75" customHeight="1">
      <c r="A507" s="1"/>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2.75" customHeight="1">
      <c r="A508" s="1"/>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2.75" customHeight="1">
      <c r="A509" s="1"/>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2.75" customHeight="1">
      <c r="A510" s="1"/>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2.75" customHeight="1">
      <c r="A511" s="1"/>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2.75" customHeight="1">
      <c r="A512" s="1"/>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2.75" customHeight="1">
      <c r="A513" s="1"/>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2.75" customHeight="1">
      <c r="A514" s="1"/>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2.75" customHeight="1">
      <c r="A515" s="1"/>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2.75" customHeight="1">
      <c r="A516" s="1"/>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2.75" customHeight="1">
      <c r="A517" s="1"/>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2.75" customHeight="1">
      <c r="A518" s="1"/>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2.75" customHeight="1">
      <c r="A519" s="1"/>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2.75" customHeight="1">
      <c r="A520" s="1"/>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2.75" customHeight="1">
      <c r="A521" s="1"/>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2.75" customHeight="1">
      <c r="A522" s="1"/>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2.75" customHeight="1">
      <c r="A523" s="1"/>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2.75" customHeight="1">
      <c r="A524" s="1"/>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2.75" customHeight="1">
      <c r="A525" s="1"/>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2.75" customHeight="1">
      <c r="A526" s="1"/>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2.75" customHeight="1">
      <c r="A527" s="1"/>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2.75" customHeight="1">
      <c r="A528" s="1"/>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2.75" customHeight="1">
      <c r="A529" s="1"/>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2.75" customHeight="1">
      <c r="A530" s="1"/>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2.75" customHeight="1">
      <c r="A531" s="1"/>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2.75" customHeight="1">
      <c r="A532" s="1"/>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2.75" customHeight="1">
      <c r="A533" s="1"/>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2.75" customHeight="1">
      <c r="A534" s="1"/>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2.75" customHeight="1">
      <c r="A535" s="1"/>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2.75" customHeight="1">
      <c r="A536" s="1"/>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2.75" customHeight="1">
      <c r="A537" s="1"/>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2.75" customHeight="1">
      <c r="A538" s="1"/>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2.75" customHeight="1">
      <c r="A539" s="1"/>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2.75" customHeight="1">
      <c r="A540" s="1"/>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2.75" customHeight="1">
      <c r="A541" s="1"/>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2.75" customHeight="1">
      <c r="A542" s="1"/>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2.75" customHeight="1">
      <c r="A543" s="1"/>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2.75" customHeight="1">
      <c r="A544" s="1"/>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2.75" customHeight="1">
      <c r="A545" s="1"/>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2.75" customHeight="1">
      <c r="A546" s="1"/>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2.75" customHeight="1">
      <c r="A547" s="1"/>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2.75" customHeight="1">
      <c r="A548" s="1"/>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2.75" customHeight="1">
      <c r="A549" s="1"/>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2.75" customHeight="1">
      <c r="A550" s="1"/>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2.75" customHeight="1">
      <c r="A551" s="1"/>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2.75" customHeight="1">
      <c r="A552" s="1"/>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2.75" customHeight="1">
      <c r="A553" s="1"/>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2.75" customHeight="1">
      <c r="A554" s="1"/>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2.75" customHeight="1">
      <c r="A555" s="1"/>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2.75" customHeight="1">
      <c r="A556" s="1"/>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2.75" customHeight="1">
      <c r="A557" s="1"/>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2.75" customHeight="1">
      <c r="A558" s="1"/>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2.75" customHeight="1">
      <c r="A559" s="1"/>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2.75" customHeight="1">
      <c r="A560" s="1"/>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2.75" customHeight="1">
      <c r="A561" s="1"/>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2.75" customHeight="1">
      <c r="A562" s="1"/>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2.75" customHeight="1">
      <c r="A563" s="1"/>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2.75" customHeight="1">
      <c r="A564" s="1"/>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2.75" customHeight="1">
      <c r="A565" s="1"/>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2.75" customHeight="1">
      <c r="A566" s="1"/>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2.75" customHeight="1">
      <c r="A567" s="1"/>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2.75" customHeight="1">
      <c r="A568" s="1"/>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2.75" customHeight="1">
      <c r="A569" s="1"/>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2.75" customHeight="1">
      <c r="A570" s="1"/>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2.75" customHeight="1">
      <c r="A571" s="1"/>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2.75" customHeight="1">
      <c r="A572" s="1"/>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2.75" customHeight="1">
      <c r="A573" s="1"/>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2.75" customHeight="1">
      <c r="A574" s="1"/>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2.75" customHeight="1">
      <c r="A575" s="1"/>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2.75" customHeight="1">
      <c r="A576" s="1"/>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2.75" customHeight="1">
      <c r="A577" s="1"/>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2.75" customHeight="1">
      <c r="A578" s="1"/>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2.75" customHeight="1">
      <c r="A579" s="1"/>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2.75" customHeight="1">
      <c r="A580" s="1"/>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2.75" customHeight="1">
      <c r="A581" s="1"/>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2.75" customHeight="1">
      <c r="A582" s="1"/>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2.75" customHeight="1">
      <c r="A583" s="1"/>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2.75" customHeight="1">
      <c r="A584" s="1"/>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2.75" customHeight="1">
      <c r="A585" s="1"/>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2.75" customHeight="1">
      <c r="A586" s="1"/>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2.75" customHeight="1">
      <c r="A587" s="1"/>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2.75" customHeight="1">
      <c r="A588" s="1"/>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2.75" customHeight="1">
      <c r="A589" s="1"/>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2.75" customHeight="1">
      <c r="A590" s="1"/>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2.75" customHeight="1">
      <c r="A591" s="1"/>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2.75" customHeight="1">
      <c r="A592" s="1"/>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2.75" customHeight="1">
      <c r="A593" s="1"/>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2.75" customHeight="1">
      <c r="A594" s="1"/>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2.75" customHeight="1">
      <c r="A595" s="1"/>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2.75" customHeight="1">
      <c r="A596" s="1"/>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2.75" customHeight="1">
      <c r="A597" s="1"/>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2.75" customHeight="1">
      <c r="A598" s="1"/>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2.75" customHeight="1">
      <c r="A599" s="1"/>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2.75" customHeight="1">
      <c r="A600" s="1"/>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2.75" customHeight="1">
      <c r="A601" s="1"/>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2.75" customHeight="1">
      <c r="A602" s="1"/>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2.75" customHeight="1">
      <c r="A603" s="1"/>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2.75" customHeight="1">
      <c r="A604" s="1"/>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2.75" customHeight="1">
      <c r="A605" s="1"/>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2.75" customHeight="1">
      <c r="A606" s="1"/>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2.75" customHeight="1">
      <c r="A607" s="1"/>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2.75" customHeight="1">
      <c r="A608" s="1"/>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2.75" customHeight="1">
      <c r="A609" s="1"/>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2.75" customHeight="1">
      <c r="A610" s="1"/>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2.75" customHeight="1">
      <c r="A611" s="1"/>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2.75" customHeight="1">
      <c r="A612" s="1"/>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2.75" customHeight="1">
      <c r="A613" s="1"/>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2.75" customHeight="1">
      <c r="A614" s="1"/>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2.75" customHeight="1">
      <c r="A615" s="1"/>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2.75" customHeight="1">
      <c r="A616" s="1"/>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2.75" customHeight="1">
      <c r="A617" s="1"/>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2.75" customHeight="1">
      <c r="A618" s="1"/>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2.75" customHeight="1">
      <c r="A619" s="1"/>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2.75" customHeight="1">
      <c r="A620" s="1"/>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2.75" customHeight="1">
      <c r="A621" s="1"/>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2.75" customHeight="1">
      <c r="A622" s="1"/>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2.75" customHeight="1">
      <c r="A623" s="1"/>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2.75" customHeight="1">
      <c r="A624" s="1"/>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2.75" customHeight="1">
      <c r="A625" s="1"/>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2.75" customHeight="1">
      <c r="A626" s="1"/>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2.75" customHeight="1">
      <c r="A627" s="1"/>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2.75" customHeight="1">
      <c r="A628" s="1"/>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2.75" customHeight="1">
      <c r="A629" s="1"/>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2.75" customHeight="1">
      <c r="A630" s="1"/>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2.75" customHeight="1">
      <c r="A631" s="1"/>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2.75" customHeight="1">
      <c r="A632" s="1"/>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2.75" customHeight="1">
      <c r="A633" s="1"/>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2.75" customHeight="1">
      <c r="A634" s="1"/>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2.75" customHeight="1">
      <c r="A635" s="1"/>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2.75" customHeight="1">
      <c r="A636" s="1"/>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2.75" customHeight="1">
      <c r="A637" s="1"/>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2.75" customHeight="1">
      <c r="A638" s="1"/>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2.75" customHeight="1">
      <c r="A639" s="1"/>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2.75" customHeight="1">
      <c r="A640" s="1"/>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2.75" customHeight="1">
      <c r="A641" s="1"/>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2.75" customHeight="1">
      <c r="A642" s="1"/>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2.75" customHeight="1">
      <c r="A643" s="1"/>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2.75" customHeight="1">
      <c r="A644" s="1"/>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2.75" customHeight="1">
      <c r="A645" s="1"/>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2.75" customHeight="1">
      <c r="A646" s="1"/>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2.75" customHeight="1">
      <c r="A647" s="1"/>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2.75" customHeight="1">
      <c r="A648" s="1"/>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2.75" customHeight="1">
      <c r="A649" s="1"/>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2.75" customHeight="1">
      <c r="A650" s="1"/>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2.75" customHeight="1">
      <c r="A651" s="1"/>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2.75" customHeight="1">
      <c r="A652" s="1"/>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2.75" customHeight="1">
      <c r="A653" s="1"/>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2.75" customHeight="1">
      <c r="A654" s="1"/>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2.75" customHeight="1">
      <c r="A655" s="1"/>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2.75" customHeight="1">
      <c r="A656" s="1"/>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2.75" customHeight="1">
      <c r="A657" s="1"/>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2.75" customHeight="1">
      <c r="A658" s="1"/>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2.75" customHeight="1">
      <c r="A659" s="1"/>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2.75" customHeight="1">
      <c r="A660" s="1"/>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2.75" customHeight="1">
      <c r="A661" s="1"/>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2.75" customHeight="1">
      <c r="A662" s="1"/>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2.75" customHeight="1">
      <c r="A663" s="1"/>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2.75" customHeight="1">
      <c r="A664" s="1"/>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2.75" customHeight="1">
      <c r="A665" s="1"/>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2.75" customHeight="1">
      <c r="A666" s="1"/>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2.75" customHeight="1">
      <c r="A667" s="1"/>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2.75" customHeight="1">
      <c r="A668" s="1"/>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2.75" customHeight="1">
      <c r="A669" s="1"/>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2.75" customHeight="1">
      <c r="A670" s="1"/>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2.75" customHeight="1">
      <c r="A671" s="1"/>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2.75" customHeight="1">
      <c r="A672" s="1"/>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2.75" customHeight="1">
      <c r="A673" s="1"/>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2.75" customHeight="1">
      <c r="A674" s="1"/>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2.75" customHeight="1">
      <c r="A675" s="1"/>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2.75" customHeight="1">
      <c r="A676" s="1"/>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2.75" customHeight="1">
      <c r="A677" s="1"/>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2.75" customHeight="1">
      <c r="A678" s="1"/>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2.75" customHeight="1">
      <c r="A679" s="1"/>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2.75" customHeight="1">
      <c r="A680" s="1"/>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2.75" customHeight="1">
      <c r="A681" s="1"/>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2.75" customHeight="1">
      <c r="A682" s="1"/>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2.75" customHeight="1">
      <c r="A683" s="1"/>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2.75" customHeight="1">
      <c r="A684" s="1"/>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2.75" customHeight="1">
      <c r="A685" s="1"/>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2.75" customHeight="1">
      <c r="A686" s="1"/>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2.75" customHeight="1">
      <c r="A687" s="1"/>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2.75" customHeight="1">
      <c r="A688" s="1"/>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2.75" customHeight="1">
      <c r="A689" s="1"/>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2.75" customHeight="1">
      <c r="A690" s="1"/>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2.75" customHeight="1">
      <c r="A691" s="1"/>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2.75" customHeight="1">
      <c r="A692" s="1"/>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2.75" customHeight="1">
      <c r="A693" s="1"/>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2.75" customHeight="1">
      <c r="A694" s="1"/>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2.75" customHeight="1">
      <c r="A695" s="1"/>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2.75" customHeight="1">
      <c r="A696" s="1"/>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2.75" customHeight="1">
      <c r="A697" s="1"/>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2.75" customHeight="1">
      <c r="A698" s="1"/>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2.75" customHeight="1">
      <c r="A699" s="1"/>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2.75" customHeight="1">
      <c r="A700" s="1"/>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2.75" customHeight="1">
      <c r="A701" s="1"/>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2.75" customHeight="1">
      <c r="A702" s="1"/>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2.75" customHeight="1">
      <c r="A703" s="1"/>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2.75" customHeight="1">
      <c r="A704" s="1"/>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2.75" customHeight="1">
      <c r="A705" s="1"/>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2.75" customHeight="1">
      <c r="A706" s="1"/>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2.75" customHeight="1">
      <c r="A707" s="1"/>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2.75" customHeight="1">
      <c r="A708" s="1"/>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2.75" customHeight="1">
      <c r="A709" s="1"/>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2.75" customHeight="1">
      <c r="A710" s="1"/>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2.75" customHeight="1">
      <c r="A711" s="1"/>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2.75" customHeight="1">
      <c r="A712" s="1"/>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2.75" customHeight="1">
      <c r="A713" s="1"/>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2.75" customHeight="1">
      <c r="A714" s="1"/>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2.75" customHeight="1">
      <c r="A715" s="1"/>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2.75" customHeight="1">
      <c r="A716" s="1"/>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2.75" customHeight="1">
      <c r="A717" s="1"/>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2.75" customHeight="1">
      <c r="A718" s="1"/>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2.75" customHeight="1">
      <c r="A719" s="1"/>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2.75" customHeight="1">
      <c r="A720" s="1"/>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2.75" customHeight="1">
      <c r="A721" s="1"/>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2.75" customHeight="1">
      <c r="A722" s="1"/>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2.75" customHeight="1">
      <c r="A723" s="1"/>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2.75" customHeight="1">
      <c r="A724" s="1"/>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2.75" customHeight="1">
      <c r="A725" s="1"/>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2.75" customHeight="1">
      <c r="A726" s="1"/>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2.75" customHeight="1">
      <c r="A727" s="1"/>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2.75" customHeight="1">
      <c r="A728" s="1"/>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2.75" customHeight="1">
      <c r="A729" s="1"/>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2.75" customHeight="1">
      <c r="A730" s="1"/>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2.75" customHeight="1">
      <c r="A731" s="1"/>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2.75" customHeight="1">
      <c r="A732" s="1"/>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2.75" customHeight="1">
      <c r="A733" s="1"/>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2.75" customHeight="1">
      <c r="A734" s="1"/>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2.75" customHeight="1">
      <c r="A735" s="1"/>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2.75" customHeight="1">
      <c r="A736" s="1"/>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2.75" customHeight="1">
      <c r="A737" s="1"/>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2.75" customHeight="1">
      <c r="A738" s="1"/>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2.75" customHeight="1">
      <c r="A739" s="1"/>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2.75" customHeight="1">
      <c r="A740" s="1"/>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2.75" customHeight="1">
      <c r="A741" s="1"/>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2.75" customHeight="1">
      <c r="A742" s="1"/>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2.75" customHeight="1">
      <c r="A743" s="1"/>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2.75" customHeight="1">
      <c r="A744" s="1"/>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2.75" customHeight="1">
      <c r="A745" s="1"/>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2.75" customHeight="1">
      <c r="A746" s="1"/>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2.75" customHeight="1">
      <c r="A747" s="1"/>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2.75" customHeight="1">
      <c r="A748" s="1"/>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2.75" customHeight="1">
      <c r="A749" s="1"/>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2.75" customHeight="1">
      <c r="A750" s="1"/>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2.75" customHeight="1">
      <c r="A751" s="1"/>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2.75" customHeight="1">
      <c r="A752" s="1"/>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2.75" customHeight="1">
      <c r="A753" s="1"/>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2.75" customHeight="1">
      <c r="A754" s="1"/>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2.75" customHeight="1">
      <c r="A755" s="1"/>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2.75" customHeight="1">
      <c r="A756" s="1"/>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2.75" customHeight="1">
      <c r="A757" s="1"/>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2.75" customHeight="1">
      <c r="A758" s="1"/>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2.75" customHeight="1">
      <c r="A759" s="1"/>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2.75" customHeight="1">
      <c r="A760" s="1"/>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2.75" customHeight="1">
      <c r="A761" s="1"/>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2.75" customHeight="1">
      <c r="A762" s="1"/>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2.75" customHeight="1">
      <c r="A763" s="1"/>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2.75" customHeight="1">
      <c r="A764" s="1"/>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2.75" customHeight="1">
      <c r="A765" s="1"/>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2.75" customHeight="1">
      <c r="A766" s="1"/>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2.75" customHeight="1">
      <c r="A767" s="1"/>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2.75" customHeight="1">
      <c r="A768" s="1"/>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2.75" customHeight="1">
      <c r="A769" s="1"/>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2.75" customHeight="1">
      <c r="A770" s="1"/>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2.75" customHeight="1">
      <c r="A771" s="1"/>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2.75" customHeight="1">
      <c r="A772" s="1"/>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2.75" customHeight="1">
      <c r="A773" s="1"/>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2.75" customHeight="1">
      <c r="A774" s="1"/>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2.75" customHeight="1">
      <c r="A775" s="1"/>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2.75" customHeight="1">
      <c r="A776" s="1"/>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2.75" customHeight="1">
      <c r="A777" s="1"/>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2.75" customHeight="1">
      <c r="A778" s="1"/>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2.75" customHeight="1">
      <c r="A779" s="1"/>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2.75" customHeight="1">
      <c r="A780" s="1"/>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2.75" customHeight="1">
      <c r="A781" s="1"/>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2.75" customHeight="1">
      <c r="A782" s="1"/>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2.75" customHeight="1">
      <c r="A783" s="1"/>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2.75" customHeight="1">
      <c r="A784" s="1"/>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2.75" customHeight="1">
      <c r="A785" s="1"/>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2.75" customHeight="1">
      <c r="A786" s="1"/>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2.75" customHeight="1">
      <c r="A787" s="1"/>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2.75" customHeight="1">
      <c r="A788" s="1"/>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2.75" customHeight="1">
      <c r="A789" s="1"/>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2.75" customHeight="1">
      <c r="A790" s="1"/>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2.75" customHeight="1">
      <c r="A791" s="1"/>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2.75" customHeight="1">
      <c r="A792" s="1"/>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2.75" customHeight="1">
      <c r="A793" s="1"/>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2.75" customHeight="1">
      <c r="A794" s="1"/>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2.75" customHeight="1">
      <c r="A795" s="1"/>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2.75" customHeight="1">
      <c r="A796" s="1"/>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2.75" customHeight="1">
      <c r="A797" s="1"/>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2.75" customHeight="1">
      <c r="A798" s="1"/>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2.75" customHeight="1">
      <c r="A799" s="1"/>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2.75" customHeight="1">
      <c r="A800" s="1"/>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2.75" customHeight="1">
      <c r="A801" s="1"/>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2.75" customHeight="1">
      <c r="A802" s="1"/>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2.75" customHeight="1">
      <c r="A803" s="1"/>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2.75" customHeight="1">
      <c r="A804" s="1"/>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2.75" customHeight="1">
      <c r="A805" s="1"/>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2.75" customHeight="1">
      <c r="A806" s="1"/>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2.75" customHeight="1">
      <c r="A807" s="1"/>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2.75" customHeight="1">
      <c r="A808" s="1"/>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2.75" customHeight="1">
      <c r="A809" s="1"/>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2.75" customHeight="1">
      <c r="A810" s="1"/>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2.75" customHeight="1">
      <c r="A811" s="1"/>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2.75" customHeight="1">
      <c r="A812" s="1"/>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2.75" customHeight="1">
      <c r="A813" s="1"/>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2.75" customHeight="1">
      <c r="A814" s="1"/>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2.75" customHeight="1">
      <c r="A815" s="1"/>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2.75" customHeight="1">
      <c r="A816" s="1"/>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2.75" customHeight="1">
      <c r="A817" s="1"/>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2.75" customHeight="1">
      <c r="A818" s="1"/>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2.75" customHeight="1">
      <c r="A819" s="1"/>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2.75" customHeight="1">
      <c r="A820" s="1"/>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2.75" customHeight="1">
      <c r="A821" s="1"/>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2.75" customHeight="1">
      <c r="A822" s="1"/>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2.75" customHeight="1">
      <c r="A823" s="1"/>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2.75" customHeight="1">
      <c r="A824" s="1"/>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2.75" customHeight="1">
      <c r="A825" s="1"/>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2.75" customHeight="1">
      <c r="A826" s="1"/>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2.75" customHeight="1">
      <c r="A827" s="1"/>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2.75" customHeight="1">
      <c r="A828" s="1"/>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2.75" customHeight="1">
      <c r="A829" s="1"/>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2.75" customHeight="1">
      <c r="A830" s="1"/>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2.75" customHeight="1">
      <c r="A831" s="1"/>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2.75" customHeight="1">
      <c r="A832" s="1"/>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2.75" customHeight="1">
      <c r="A833" s="1"/>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2.75" customHeight="1">
      <c r="A834" s="1"/>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2.75" customHeight="1">
      <c r="A835" s="1"/>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2.75" customHeight="1">
      <c r="A836" s="1"/>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2.75" customHeight="1">
      <c r="A837" s="1"/>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2.75" customHeight="1">
      <c r="A838" s="1"/>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2.75" customHeight="1">
      <c r="A839" s="1"/>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2.75" customHeight="1">
      <c r="A840" s="1"/>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2.75" customHeight="1">
      <c r="A841" s="1"/>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2.75" customHeight="1">
      <c r="A842" s="1"/>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2.75" customHeight="1">
      <c r="A843" s="1"/>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2.75" customHeight="1">
      <c r="A844" s="1"/>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2.75" customHeight="1">
      <c r="A845" s="1"/>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2.75" customHeight="1">
      <c r="A846" s="1"/>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2.75" customHeight="1">
      <c r="A847" s="1"/>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2.75" customHeight="1">
      <c r="A848" s="1"/>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2.75" customHeight="1">
      <c r="A849" s="1"/>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2.75" customHeight="1">
      <c r="A850" s="1"/>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2.75" customHeight="1">
      <c r="A851" s="1"/>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2.75" customHeight="1">
      <c r="A852" s="1"/>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2.75" customHeight="1">
      <c r="A853" s="1"/>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2.75" customHeight="1">
      <c r="A854" s="1"/>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2.75" customHeight="1">
      <c r="A855" s="1"/>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2.75" customHeight="1">
      <c r="A856" s="1"/>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2.75" customHeight="1">
      <c r="A857" s="1"/>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2.75" customHeight="1">
      <c r="A858" s="1"/>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2.75" customHeight="1">
      <c r="A859" s="1"/>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2.75" customHeight="1">
      <c r="A860" s="1"/>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2.75" customHeight="1">
      <c r="A861" s="1"/>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2.75" customHeight="1">
      <c r="A862" s="1"/>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2.75" customHeight="1">
      <c r="A863" s="1"/>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2.75" customHeight="1">
      <c r="A864" s="1"/>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2.75" customHeight="1">
      <c r="A865" s="1"/>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2.75" customHeight="1">
      <c r="A866" s="1"/>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2.75" customHeight="1">
      <c r="A867" s="1"/>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2.75" customHeight="1">
      <c r="A868" s="1"/>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2.75" customHeight="1">
      <c r="A869" s="1"/>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2.75" customHeight="1">
      <c r="A870" s="1"/>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2.75" customHeight="1">
      <c r="A871" s="1"/>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2.75" customHeight="1">
      <c r="A872" s="1"/>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2.75" customHeight="1">
      <c r="A873" s="1"/>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2.75" customHeight="1">
      <c r="A874" s="1"/>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2.75" customHeight="1">
      <c r="A875" s="1"/>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2.75" customHeight="1">
      <c r="A876" s="1"/>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2.75" customHeight="1">
      <c r="A877" s="1"/>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2.75" customHeight="1">
      <c r="A878" s="1"/>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2.75" customHeight="1">
      <c r="A879" s="1"/>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2.75" customHeight="1">
      <c r="A880" s="1"/>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2.75" customHeight="1">
      <c r="A881" s="1"/>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2.75" customHeight="1">
      <c r="A882" s="1"/>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2.75" customHeight="1">
      <c r="A883" s="1"/>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2.75" customHeight="1">
      <c r="A884" s="1"/>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2.75" customHeight="1">
      <c r="A885" s="1"/>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2.75" customHeight="1">
      <c r="A886" s="1"/>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2.75" customHeight="1">
      <c r="A887" s="1"/>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2.75" customHeight="1">
      <c r="A888" s="1"/>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2.75" customHeight="1">
      <c r="A889" s="1"/>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2.75" customHeight="1">
      <c r="A890" s="1"/>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2.75" customHeight="1">
      <c r="A891" s="1"/>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2.75" customHeight="1">
      <c r="A892" s="1"/>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2.75" customHeight="1">
      <c r="A893" s="1"/>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2.75" customHeight="1">
      <c r="A894" s="1"/>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2.75" customHeight="1">
      <c r="A895" s="1"/>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2.75" customHeight="1">
      <c r="A896" s="1"/>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2.75" customHeight="1">
      <c r="A897" s="1"/>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2.75" customHeight="1">
      <c r="A898" s="1"/>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2.75" customHeight="1">
      <c r="A899" s="1"/>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2.75" customHeight="1">
      <c r="A900" s="1"/>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2.75" customHeight="1">
      <c r="A901" s="1"/>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2.75" customHeight="1">
      <c r="A902" s="1"/>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2.75" customHeight="1">
      <c r="A903" s="1"/>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2.75" customHeight="1">
      <c r="A904" s="1"/>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2.75" customHeight="1">
      <c r="A905" s="1"/>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2.75" customHeight="1">
      <c r="A906" s="1"/>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2.75" customHeight="1">
      <c r="A907" s="1"/>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2.75" customHeight="1">
      <c r="A908" s="1"/>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2.75" customHeight="1">
      <c r="A909" s="1"/>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2.75" customHeight="1">
      <c r="A910" s="1"/>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2.75" customHeight="1">
      <c r="A911" s="1"/>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2.75" customHeight="1">
      <c r="A912" s="1"/>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2.75" customHeight="1">
      <c r="A913" s="1"/>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2.75" customHeight="1">
      <c r="A914" s="1"/>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2.75" customHeight="1">
      <c r="A915" s="1"/>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2.75" customHeight="1">
      <c r="A916" s="1"/>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2.75" customHeight="1">
      <c r="A917" s="1"/>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2.75" customHeight="1">
      <c r="A918" s="1"/>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2.75" customHeight="1">
      <c r="A919" s="1"/>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2.75" customHeight="1">
      <c r="A920" s="1"/>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2.75" customHeight="1">
      <c r="A921" s="1"/>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2.75" customHeight="1">
      <c r="A922" s="1"/>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2.75" customHeight="1">
      <c r="A923" s="1"/>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2.75" customHeight="1">
      <c r="A924" s="1"/>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2.75" customHeight="1">
      <c r="A925" s="1"/>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2.75" customHeight="1">
      <c r="A926" s="1"/>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2.75" customHeight="1">
      <c r="A927" s="1"/>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2.75" customHeight="1">
      <c r="A928" s="1"/>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2.75" customHeight="1">
      <c r="A929" s="1"/>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2.75" customHeight="1">
      <c r="A930" s="1"/>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2.75" customHeight="1">
      <c r="A931" s="1"/>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2.75" customHeight="1">
      <c r="A932" s="1"/>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2.75" customHeight="1">
      <c r="A933" s="1"/>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2.75" customHeight="1">
      <c r="A934" s="1"/>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2.75" customHeight="1">
      <c r="A935" s="1"/>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2.75" customHeight="1">
      <c r="A936" s="1"/>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2.75" customHeight="1">
      <c r="A937" s="1"/>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2.75" customHeight="1">
      <c r="A938" s="1"/>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2.75" customHeight="1">
      <c r="A939" s="1"/>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2.75" customHeight="1">
      <c r="A940" s="1"/>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2.75" customHeight="1">
      <c r="A941" s="1"/>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2.75" customHeight="1">
      <c r="A942" s="1"/>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2.75" customHeight="1">
      <c r="A943" s="1"/>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2.75" customHeight="1">
      <c r="A944" s="1"/>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2.75" customHeight="1">
      <c r="A945" s="1"/>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2.75" customHeight="1">
      <c r="A946" s="1"/>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2.75" customHeight="1">
      <c r="A947" s="1"/>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2.75" customHeight="1">
      <c r="A948" s="1"/>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2.75" customHeight="1">
      <c r="A949" s="1"/>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2.75" customHeight="1">
      <c r="A950" s="1"/>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2.75" customHeight="1">
      <c r="A951" s="1"/>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2.75" customHeight="1">
      <c r="A952" s="1"/>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2.75" customHeight="1">
      <c r="A953" s="1"/>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2.75" customHeight="1">
      <c r="A954" s="1"/>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2.75" customHeight="1">
      <c r="A955" s="1"/>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2.75" customHeight="1">
      <c r="A956" s="1"/>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2.75" customHeight="1">
      <c r="A957" s="1"/>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2.75" customHeight="1">
      <c r="A958" s="1"/>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2.75" customHeight="1">
      <c r="A959" s="1"/>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2.75" customHeight="1">
      <c r="A960" s="1"/>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2.75" customHeight="1">
      <c r="A961" s="1"/>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2.75" customHeight="1">
      <c r="A962" s="1"/>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2.75" customHeight="1">
      <c r="A963" s="1"/>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2.75" customHeight="1">
      <c r="A964" s="1"/>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2.75" customHeight="1">
      <c r="A965" s="1"/>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2.75" customHeight="1">
      <c r="A966" s="1"/>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2.75" customHeight="1">
      <c r="A967" s="1"/>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2.75" customHeight="1">
      <c r="A968" s="1"/>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2.75" customHeight="1">
      <c r="A969" s="1"/>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2.75" customHeight="1">
      <c r="A970" s="1"/>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2.75" customHeight="1">
      <c r="A971" s="1"/>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2.75" customHeight="1">
      <c r="A972" s="1"/>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2.75" customHeight="1">
      <c r="A973" s="1"/>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2.75" customHeight="1">
      <c r="A974" s="1"/>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2.75" customHeight="1">
      <c r="A975" s="1"/>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2.75" customHeight="1">
      <c r="A976" s="1"/>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2.75" customHeight="1">
      <c r="A977" s="1"/>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2.75" customHeight="1">
      <c r="A978" s="1"/>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2.75" customHeight="1">
      <c r="A979" s="1"/>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2.75" customHeight="1">
      <c r="A980" s="1"/>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2.75" customHeight="1">
      <c r="A981" s="1"/>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2.75" customHeight="1">
      <c r="A982" s="1"/>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2.75" customHeight="1">
      <c r="A983" s="1"/>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2.75" customHeight="1">
      <c r="A984" s="1"/>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2.75" customHeight="1">
      <c r="A985" s="1"/>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2.75" customHeight="1">
      <c r="A986" s="1"/>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2.75" customHeight="1">
      <c r="A987" s="1"/>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2.75" customHeight="1">
      <c r="A988" s="1"/>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2.75" customHeight="1">
      <c r="A989" s="1"/>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2.75" customHeight="1">
      <c r="A990" s="1"/>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2.75" customHeight="1">
      <c r="A991" s="1"/>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2.75" customHeight="1">
      <c r="A992" s="1"/>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2.75" customHeight="1">
      <c r="A993" s="1"/>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2.75" customHeight="1">
      <c r="A994" s="1"/>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2.75" customHeight="1">
      <c r="A995" s="1"/>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2.75" customHeight="1">
      <c r="A996" s="1"/>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2.75" customHeight="1">
      <c r="A997" s="1"/>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2.75" customHeight="1">
      <c r="A998" s="1"/>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2.75" customHeight="1">
      <c r="A999" s="1"/>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2.75" customHeight="1">
      <c r="A1000" s="1"/>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mergeCells count="41">
    <mergeCell ref="B9:L9"/>
    <mergeCell ref="M9:N9"/>
    <mergeCell ref="O9:Q9"/>
    <mergeCell ref="R9:S9"/>
    <mergeCell ref="T9:V9"/>
    <mergeCell ref="B10:I11"/>
    <mergeCell ref="J10:J12"/>
    <mergeCell ref="M12:S12"/>
    <mergeCell ref="B12:I12"/>
    <mergeCell ref="K12:L12"/>
    <mergeCell ref="B13:L13"/>
    <mergeCell ref="M13:V13"/>
    <mergeCell ref="B14:V14"/>
    <mergeCell ref="B15:V15"/>
    <mergeCell ref="B16:V16"/>
    <mergeCell ref="M6:N6"/>
    <mergeCell ref="O6:V6"/>
    <mergeCell ref="B1:V1"/>
    <mergeCell ref="B2:V2"/>
    <mergeCell ref="B3:V3"/>
    <mergeCell ref="B4:V4"/>
    <mergeCell ref="B5:L5"/>
    <mergeCell ref="M5:V5"/>
    <mergeCell ref="C6:L6"/>
    <mergeCell ref="M8:O8"/>
    <mergeCell ref="P8:V8"/>
    <mergeCell ref="B7:D7"/>
    <mergeCell ref="E7:L7"/>
    <mergeCell ref="M7:O7"/>
    <mergeCell ref="P7:V7"/>
    <mergeCell ref="C8:E8"/>
    <mergeCell ref="F8:H8"/>
    <mergeCell ref="I8:L8"/>
    <mergeCell ref="K10:L11"/>
    <mergeCell ref="M10:S11"/>
    <mergeCell ref="T10:T12"/>
    <mergeCell ref="U10:V11"/>
    <mergeCell ref="U12:V12"/>
    <mergeCell ref="B17:V17"/>
    <mergeCell ref="B18:V18"/>
    <mergeCell ref="B19:V19"/>
  </mergeCells>
  <printOptions horizontalCentered="1"/>
  <pageMargins bottom="0.1" footer="0.0" header="0.0" left="0.284313210848644" right="0.284313210848644" top="0.5"/>
  <pageSetup orientation="landscape"/>
  <headerFooter>
    <oddHeader>&amp;LFORM: NDMLR 10-13&amp;CNON-DISCHARGE MASS LOADING REPORT (NDMLR)&amp;RPage _____ of _____</oddHead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26" width="22.25"/>
  </cols>
  <sheetData>
    <row r="1" ht="13.5" customHeight="1">
      <c r="A1" s="171" t="s">
        <v>38</v>
      </c>
      <c r="B1" s="172"/>
      <c r="C1" s="172"/>
      <c r="D1" s="172"/>
      <c r="E1" s="172"/>
      <c r="F1" s="173"/>
      <c r="G1" s="174"/>
      <c r="H1" s="174"/>
      <c r="I1" s="174"/>
      <c r="J1" s="174"/>
      <c r="K1" s="174"/>
      <c r="L1" s="174"/>
      <c r="M1" s="174"/>
      <c r="N1" s="174"/>
      <c r="O1" s="174"/>
      <c r="P1" s="174"/>
      <c r="Q1" s="174"/>
      <c r="R1" s="174"/>
      <c r="S1" s="174"/>
      <c r="T1" s="174"/>
      <c r="U1" s="174"/>
      <c r="V1" s="174"/>
      <c r="W1" s="174"/>
      <c r="X1" s="174"/>
      <c r="Y1" s="174"/>
      <c r="Z1" s="174"/>
    </row>
    <row r="2" ht="13.5" customHeight="1">
      <c r="B2" s="174"/>
      <c r="C2" s="174"/>
      <c r="D2" s="174"/>
      <c r="E2" s="174"/>
      <c r="F2" s="175"/>
      <c r="G2" s="174"/>
      <c r="H2" s="174"/>
      <c r="I2" s="174"/>
      <c r="J2" s="174"/>
      <c r="K2" s="174"/>
      <c r="L2" s="174"/>
      <c r="M2" s="174"/>
      <c r="N2" s="174"/>
      <c r="O2" s="174"/>
      <c r="P2" s="174"/>
      <c r="Q2" s="174"/>
      <c r="R2" s="174"/>
      <c r="S2" s="174"/>
      <c r="T2" s="174"/>
      <c r="U2" s="174"/>
      <c r="V2" s="174"/>
      <c r="W2" s="174"/>
      <c r="X2" s="174"/>
      <c r="Y2" s="174"/>
      <c r="Z2" s="174"/>
    </row>
    <row r="3" ht="13.5" customHeight="1">
      <c r="A3" s="176"/>
      <c r="B3" s="174"/>
      <c r="C3" s="174"/>
      <c r="D3" s="174"/>
      <c r="E3" s="174"/>
      <c r="F3" s="175"/>
      <c r="G3" s="174"/>
      <c r="H3" s="174"/>
      <c r="I3" s="174"/>
      <c r="J3" s="174"/>
      <c r="K3" s="174"/>
      <c r="L3" s="174"/>
      <c r="M3" s="174"/>
      <c r="N3" s="174"/>
      <c r="O3" s="174"/>
      <c r="P3" s="174"/>
      <c r="Q3" s="174"/>
      <c r="R3" s="174"/>
      <c r="S3" s="174"/>
      <c r="T3" s="174"/>
      <c r="U3" s="174"/>
      <c r="V3" s="174"/>
      <c r="W3" s="174"/>
      <c r="X3" s="174"/>
      <c r="Y3" s="174"/>
      <c r="Z3" s="174"/>
    </row>
    <row r="4" ht="13.5" customHeight="1">
      <c r="A4" s="177"/>
      <c r="B4" s="174"/>
      <c r="C4" s="174"/>
      <c r="D4" s="174"/>
      <c r="E4" s="174"/>
      <c r="F4" s="175"/>
      <c r="G4" s="174"/>
      <c r="H4" s="174"/>
      <c r="I4" s="174"/>
      <c r="J4" s="174"/>
      <c r="K4" s="174"/>
      <c r="L4" s="174"/>
      <c r="M4" s="174"/>
      <c r="N4" s="174"/>
      <c r="O4" s="174"/>
      <c r="P4" s="174"/>
      <c r="Q4" s="174"/>
      <c r="R4" s="174"/>
      <c r="S4" s="174"/>
      <c r="T4" s="174"/>
      <c r="U4" s="174"/>
      <c r="V4" s="174"/>
      <c r="W4" s="174"/>
      <c r="X4" s="174"/>
      <c r="Y4" s="174"/>
      <c r="Z4" s="174"/>
    </row>
    <row r="5" ht="13.5" customHeight="1">
      <c r="A5" s="177"/>
      <c r="B5" s="174"/>
      <c r="C5" s="174"/>
      <c r="D5" s="174"/>
      <c r="E5" s="174"/>
      <c r="F5" s="175"/>
      <c r="G5" s="174"/>
      <c r="H5" s="174"/>
      <c r="I5" s="174"/>
      <c r="J5" s="174"/>
      <c r="K5" s="174"/>
      <c r="L5" s="174"/>
      <c r="M5" s="174"/>
      <c r="N5" s="174"/>
      <c r="O5" s="174"/>
      <c r="P5" s="174"/>
      <c r="Q5" s="174"/>
      <c r="R5" s="174"/>
      <c r="S5" s="174"/>
      <c r="T5" s="174"/>
      <c r="U5" s="174"/>
      <c r="V5" s="174"/>
      <c r="W5" s="174"/>
      <c r="X5" s="174"/>
      <c r="Y5" s="174"/>
      <c r="Z5" s="174"/>
    </row>
    <row r="6" ht="13.5" customHeight="1">
      <c r="A6" s="177"/>
      <c r="B6" s="174"/>
      <c r="C6" s="174"/>
      <c r="D6" s="174"/>
      <c r="E6" s="174"/>
      <c r="F6" s="175"/>
      <c r="G6" s="174"/>
      <c r="H6" s="174"/>
      <c r="I6" s="174"/>
      <c r="J6" s="174"/>
      <c r="K6" s="174"/>
      <c r="L6" s="174"/>
      <c r="M6" s="174"/>
      <c r="N6" s="174"/>
      <c r="O6" s="174"/>
      <c r="P6" s="174"/>
      <c r="Q6" s="174"/>
      <c r="R6" s="174"/>
      <c r="S6" s="174"/>
      <c r="T6" s="174"/>
      <c r="U6" s="174"/>
      <c r="V6" s="174"/>
      <c r="W6" s="174"/>
      <c r="X6" s="174"/>
      <c r="Y6" s="174"/>
      <c r="Z6" s="174"/>
    </row>
    <row r="7" ht="13.5" customHeight="1">
      <c r="A7" s="178"/>
      <c r="B7" s="179"/>
      <c r="C7" s="179"/>
      <c r="D7" s="179"/>
      <c r="E7" s="179"/>
      <c r="F7" s="180"/>
      <c r="G7" s="174"/>
      <c r="H7" s="174"/>
      <c r="I7" s="174"/>
      <c r="J7" s="174"/>
      <c r="K7" s="174"/>
      <c r="L7" s="174"/>
      <c r="M7" s="174"/>
      <c r="N7" s="174"/>
      <c r="O7" s="174"/>
      <c r="P7" s="174"/>
      <c r="Q7" s="174"/>
      <c r="R7" s="174"/>
      <c r="S7" s="174"/>
      <c r="T7" s="174"/>
      <c r="U7" s="174"/>
      <c r="V7" s="174"/>
      <c r="W7" s="174"/>
      <c r="X7" s="174"/>
      <c r="Y7" s="174"/>
      <c r="Z7" s="174"/>
    </row>
    <row r="8" ht="13.5" customHeight="1">
      <c r="A8" s="174"/>
      <c r="B8" s="174"/>
      <c r="C8" s="174"/>
      <c r="D8" s="174"/>
      <c r="E8" s="174"/>
      <c r="F8" s="174"/>
      <c r="G8" s="174"/>
      <c r="H8" s="174"/>
      <c r="I8" s="174"/>
      <c r="J8" s="174"/>
      <c r="K8" s="174"/>
      <c r="L8" s="174"/>
      <c r="M8" s="174"/>
      <c r="N8" s="174"/>
      <c r="O8" s="174"/>
      <c r="P8" s="174"/>
      <c r="Q8" s="174"/>
      <c r="R8" s="174"/>
      <c r="S8" s="174"/>
      <c r="T8" s="174"/>
      <c r="U8" s="174"/>
      <c r="V8" s="174"/>
      <c r="W8" s="174"/>
      <c r="X8" s="174"/>
      <c r="Y8" s="174"/>
      <c r="Z8" s="174"/>
    </row>
    <row r="9" ht="13.5" customHeight="1">
      <c r="A9" s="181" t="s">
        <v>39</v>
      </c>
      <c r="B9" s="99"/>
      <c r="C9" s="174"/>
      <c r="D9" s="174"/>
      <c r="E9" s="174"/>
      <c r="F9" s="174"/>
      <c r="G9" s="174"/>
      <c r="H9" s="174"/>
      <c r="I9" s="174"/>
      <c r="J9" s="174"/>
      <c r="K9" s="174"/>
      <c r="L9" s="174"/>
      <c r="M9" s="174"/>
      <c r="N9" s="174"/>
      <c r="O9" s="174"/>
      <c r="P9" s="174"/>
      <c r="Q9" s="174"/>
      <c r="R9" s="174"/>
      <c r="S9" s="174"/>
      <c r="T9" s="174"/>
      <c r="U9" s="174"/>
      <c r="V9" s="174"/>
      <c r="W9" s="174"/>
      <c r="X9" s="174"/>
      <c r="Y9" s="174"/>
      <c r="Z9" s="174"/>
    </row>
    <row r="10" ht="13.5" customHeight="1">
      <c r="A10" s="182" t="s">
        <v>40</v>
      </c>
      <c r="B10" s="182" t="s">
        <v>41</v>
      </c>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ht="13.5" customHeight="1">
      <c r="A11" s="183" t="s">
        <v>42</v>
      </c>
      <c r="B11" s="183" t="s">
        <v>43</v>
      </c>
      <c r="C11" s="174"/>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ht="13.5" customHeight="1">
      <c r="A12" s="183" t="s">
        <v>44</v>
      </c>
      <c r="B12" s="183" t="s">
        <v>45</v>
      </c>
      <c r="C12" s="174"/>
      <c r="D12" s="174"/>
      <c r="E12" s="174"/>
      <c r="F12" s="174"/>
      <c r="G12" s="174"/>
      <c r="H12" s="174"/>
      <c r="I12" s="174"/>
      <c r="J12" s="174"/>
      <c r="K12" s="174"/>
      <c r="L12" s="174"/>
      <c r="M12" s="174"/>
      <c r="N12" s="174"/>
      <c r="O12" s="174"/>
      <c r="P12" s="174"/>
      <c r="Q12" s="174"/>
      <c r="R12" s="174"/>
      <c r="S12" s="174"/>
      <c r="T12" s="174"/>
      <c r="U12" s="174"/>
      <c r="V12" s="174"/>
      <c r="W12" s="174"/>
      <c r="X12" s="174"/>
      <c r="Y12" s="174"/>
      <c r="Z12" s="174"/>
    </row>
    <row r="13" ht="13.5" customHeight="1">
      <c r="A13" s="183" t="s">
        <v>46</v>
      </c>
      <c r="B13" s="183" t="s">
        <v>47</v>
      </c>
      <c r="C13" s="174"/>
      <c r="D13" s="174"/>
      <c r="E13" s="174"/>
      <c r="F13" s="174"/>
      <c r="G13" s="174"/>
      <c r="H13" s="174"/>
      <c r="I13" s="174"/>
      <c r="J13" s="174"/>
      <c r="K13" s="174"/>
      <c r="L13" s="174"/>
      <c r="M13" s="174"/>
      <c r="N13" s="174"/>
      <c r="O13" s="174"/>
      <c r="P13" s="174"/>
      <c r="Q13" s="174"/>
      <c r="R13" s="174"/>
      <c r="S13" s="174"/>
      <c r="T13" s="174"/>
      <c r="U13" s="174"/>
      <c r="V13" s="174"/>
      <c r="W13" s="174"/>
      <c r="X13" s="174"/>
      <c r="Y13" s="174"/>
      <c r="Z13" s="174"/>
    </row>
    <row r="14" ht="13.5" customHeight="1">
      <c r="A14" s="183" t="s">
        <v>48</v>
      </c>
      <c r="B14" s="183" t="s">
        <v>49</v>
      </c>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row>
    <row r="15" ht="13.5" customHeight="1">
      <c r="A15" s="183" t="s">
        <v>50</v>
      </c>
      <c r="B15" s="183" t="s">
        <v>51</v>
      </c>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row>
    <row r="16" ht="13.5" customHeight="1">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row>
    <row r="17" ht="13.5" customHeight="1">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row>
    <row r="18" ht="13.5" customHeight="1">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row>
    <row r="19" ht="13.5" customHeight="1">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row>
    <row r="20" ht="13.5" customHeight="1">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row>
    <row r="21" ht="13.5" customHeight="1">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row>
    <row r="22" ht="13.5" customHeight="1">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row>
    <row r="23" ht="13.5" customHeight="1">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row>
    <row r="24" ht="13.5" customHeight="1">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row>
    <row r="25" ht="13.5" customHeight="1">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row>
    <row r="26" ht="13.5" customHeight="1">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row>
    <row r="27" ht="13.5" customHeight="1">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row>
    <row r="28" ht="13.5" customHeight="1">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row>
    <row r="29" ht="13.5" customHeight="1">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row>
    <row r="30" ht="13.5" customHeight="1">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row>
    <row r="31" ht="13.5" customHeight="1">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row>
    <row r="32" ht="13.5" customHeight="1">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row>
    <row r="33" ht="13.5" customHeight="1">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row>
    <row r="34" ht="13.5" customHeight="1">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row>
    <row r="35" ht="13.5" customHeight="1">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row>
    <row r="36" ht="13.5" customHeight="1">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row>
    <row r="37" ht="13.5" customHeight="1">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row>
    <row r="38" ht="13.5" customHeight="1">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row>
    <row r="39" ht="13.5" customHeight="1">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row>
    <row r="40" ht="13.5" customHeight="1">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row>
    <row r="41" ht="13.5" customHeight="1">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row>
    <row r="42" ht="13.5" customHeight="1">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row>
    <row r="43" ht="13.5" customHeight="1">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row>
    <row r="44" ht="13.5" customHeight="1">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row>
    <row r="45" ht="13.5" customHeight="1">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row>
    <row r="46" ht="13.5" customHeight="1">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ht="13.5" customHeight="1">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row>
    <row r="48" ht="13.5" customHeight="1">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row>
    <row r="49" ht="13.5" customHeight="1">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row>
    <row r="50" ht="13.5" customHeight="1">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ht="13.5" customHeight="1">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row>
    <row r="52" ht="13.5" customHeight="1">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row>
    <row r="53" ht="13.5" customHeight="1">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row>
    <row r="54" ht="13.5" customHeight="1">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row>
    <row r="55" ht="13.5" customHeight="1">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row>
    <row r="56" ht="13.5" customHeight="1">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ht="13.5" customHeight="1">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ht="13.5" customHeight="1">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row>
    <row r="59" ht="13.5" customHeight="1">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ht="13.5" customHeight="1">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row>
    <row r="61" ht="13.5" customHeight="1">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row>
    <row r="62" ht="13.5" customHeight="1">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ht="13.5" customHeight="1">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ht="13.5" customHeight="1">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ht="13.5" customHeight="1">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ht="13.5" customHeight="1">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ht="13.5" customHeight="1">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ht="13.5" customHeight="1">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ht="13.5" customHeight="1">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ht="13.5" customHeight="1">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ht="13.5" customHeight="1">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ht="13.5" customHeight="1">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ht="13.5" customHeight="1">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ht="13.5" customHeight="1">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ht="13.5" customHeight="1">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ht="13.5" customHeight="1">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ht="13.5" customHeight="1">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ht="13.5" customHeight="1">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ht="13.5" customHeight="1">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ht="13.5" customHeight="1">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ht="13.5" customHeight="1">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ht="13.5" customHeight="1">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ht="13.5" customHeight="1">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ht="13.5" customHeight="1">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ht="13.5" customHeight="1">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ht="13.5" customHeight="1">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ht="13.5" customHeight="1">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ht="13.5" customHeight="1">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ht="13.5" customHeight="1">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ht="13.5" customHeight="1">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ht="13.5" customHeight="1">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ht="13.5" customHeight="1">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ht="13.5" customHeight="1">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ht="13.5" customHeight="1">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ht="13.5" customHeight="1">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ht="13.5" customHeight="1">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ht="13.5" customHeight="1">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ht="13.5" customHeight="1">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ht="13.5" customHeight="1">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ht="13.5" customHeight="1">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ht="13.5" customHeight="1">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ht="13.5" customHeight="1">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ht="13.5" customHeight="1">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ht="13.5" customHeight="1">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ht="13.5" customHeight="1">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ht="13.5" customHeight="1">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ht="13.5" customHeight="1">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ht="13.5" customHeight="1">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ht="13.5" customHeight="1">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ht="13.5" customHeight="1">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ht="13.5" customHeight="1">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ht="13.5" customHeight="1">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ht="13.5" customHeight="1">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ht="13.5" customHeight="1">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ht="13.5" customHeight="1">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ht="13.5" customHeight="1">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ht="13.5" customHeight="1">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ht="13.5" customHeight="1">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ht="13.5" customHeight="1">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ht="13.5" customHeight="1">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ht="13.5" customHeight="1">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ht="13.5" customHeight="1">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ht="13.5" customHeight="1">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ht="13.5" customHeight="1">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ht="13.5" customHeight="1">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ht="13.5" customHeight="1">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ht="13.5" customHeight="1">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ht="13.5" customHeight="1">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ht="13.5" customHeight="1">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ht="13.5" customHeight="1">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ht="13.5" customHeight="1">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ht="13.5" customHeight="1">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ht="13.5" customHeight="1">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ht="13.5" customHeight="1">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ht="13.5" customHeight="1">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ht="13.5" customHeight="1">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ht="13.5" customHeight="1">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ht="13.5" customHeight="1">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ht="13.5" customHeight="1">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ht="13.5" customHeight="1">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ht="13.5" customHeight="1">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ht="13.5" customHeight="1">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ht="13.5" customHeight="1">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ht="13.5" customHeight="1">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ht="13.5" customHeight="1">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ht="13.5" customHeight="1">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ht="13.5" customHeight="1">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ht="13.5" customHeight="1">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ht="13.5" customHeight="1">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ht="13.5" customHeight="1">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ht="13.5" customHeight="1">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ht="13.5" customHeight="1">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ht="13.5" customHeight="1">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ht="13.5" customHeight="1">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ht="13.5" customHeight="1">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ht="13.5" customHeight="1">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ht="13.5" customHeight="1">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ht="13.5" customHeight="1">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ht="13.5" customHeight="1">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ht="13.5" customHeight="1">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ht="13.5" customHeight="1">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ht="13.5" customHeight="1">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ht="13.5" customHeight="1">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ht="13.5" customHeight="1">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ht="13.5" customHeight="1">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ht="13.5" customHeight="1">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ht="13.5" customHeight="1">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ht="13.5" customHeight="1">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ht="13.5" customHeight="1">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ht="13.5" customHeight="1">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ht="13.5" customHeight="1">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ht="13.5" customHeight="1">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ht="13.5" customHeight="1">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ht="13.5" customHeight="1">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ht="13.5" customHeight="1">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ht="13.5" customHeight="1">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ht="13.5" customHeight="1">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ht="13.5" customHeight="1">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ht="13.5" customHeight="1">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ht="13.5" customHeight="1">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ht="13.5" customHeight="1">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ht="13.5" customHeight="1">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ht="13.5" customHeight="1">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ht="13.5" customHeight="1">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ht="13.5" customHeight="1">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ht="13.5" customHeight="1">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ht="13.5" customHeight="1">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ht="13.5" customHeight="1">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ht="13.5" customHeight="1">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ht="13.5" customHeight="1">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ht="13.5" customHeight="1">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ht="13.5" customHeight="1">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ht="13.5" customHeight="1">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ht="13.5" customHeight="1">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ht="13.5" customHeight="1">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ht="13.5" customHeight="1">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ht="13.5" customHeight="1">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ht="13.5" customHeight="1">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ht="13.5" customHeight="1">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ht="13.5" customHeight="1">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ht="13.5" customHeight="1">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ht="13.5" customHeight="1">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ht="13.5" customHeight="1">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ht="13.5" customHeight="1">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ht="13.5" customHeight="1">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ht="13.5" customHeight="1">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ht="13.5" customHeight="1">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ht="13.5" customHeight="1">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ht="13.5" customHeight="1">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ht="13.5" customHeight="1">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ht="13.5" customHeight="1">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ht="13.5" customHeight="1">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ht="13.5" customHeight="1">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ht="13.5" customHeight="1">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ht="13.5" customHeight="1">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ht="13.5" customHeight="1">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ht="13.5" customHeight="1">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ht="13.5" customHeight="1">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ht="13.5" customHeight="1">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ht="13.5" customHeight="1">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ht="13.5" customHeight="1">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ht="13.5" customHeight="1">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ht="13.5" customHeight="1">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ht="13.5" customHeight="1">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ht="13.5" customHeight="1">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ht="13.5" customHeight="1">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ht="13.5" customHeight="1">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ht="13.5" customHeight="1">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ht="13.5" customHeight="1">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ht="13.5" customHeight="1">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ht="13.5" customHeight="1">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ht="13.5" customHeight="1">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ht="13.5" customHeight="1">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ht="13.5" customHeight="1">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ht="13.5" customHeight="1">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ht="13.5" customHeight="1">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ht="13.5" customHeight="1">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ht="13.5" customHeight="1">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ht="13.5" customHeight="1">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ht="13.5" customHeight="1">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ht="13.5" customHeight="1">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ht="13.5" customHeight="1">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ht="13.5" customHeight="1">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ht="13.5" customHeight="1">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ht="13.5" customHeight="1">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ht="13.5" customHeight="1">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ht="13.5" customHeight="1">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ht="13.5" customHeight="1">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ht="13.5" customHeight="1">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ht="13.5" customHeight="1">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ht="13.5" customHeight="1">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ht="13.5" customHeight="1">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ht="13.5" customHeight="1">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ht="13.5" customHeight="1">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ht="13.5" customHeight="1">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ht="13.5" customHeight="1">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ht="13.5" customHeight="1">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ht="13.5" customHeight="1">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ht="13.5" customHeight="1">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ht="13.5" customHeight="1">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ht="13.5" customHeight="1">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ht="13.5" customHeight="1">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ht="13.5" customHeight="1">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ht="13.5" customHeight="1">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ht="13.5" customHeight="1">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ht="13.5" customHeight="1">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ht="13.5" customHeight="1">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ht="13.5" customHeight="1">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ht="13.5" customHeight="1">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ht="13.5" customHeight="1">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ht="13.5" customHeight="1">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ht="13.5" customHeight="1">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ht="13.5" customHeight="1">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ht="13.5" customHeight="1">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ht="13.5" customHeight="1">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ht="13.5" customHeight="1">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ht="13.5" customHeight="1">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ht="13.5" customHeight="1">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ht="13.5" customHeight="1">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ht="13.5" customHeight="1">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ht="13.5" customHeight="1">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ht="13.5" customHeight="1">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ht="13.5" customHeight="1">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ht="13.5" customHeight="1">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ht="13.5" customHeight="1">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ht="13.5" customHeight="1">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ht="13.5" customHeight="1">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ht="13.5" customHeight="1">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ht="13.5" customHeight="1">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ht="13.5" customHeight="1">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ht="13.5" customHeight="1">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ht="13.5" customHeight="1">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ht="13.5" customHeight="1">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ht="13.5" customHeight="1">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ht="13.5" customHeight="1">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ht="13.5" customHeight="1">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ht="13.5" customHeight="1">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ht="13.5" customHeight="1">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ht="13.5" customHeight="1">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ht="13.5" customHeight="1">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ht="13.5" customHeight="1">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ht="13.5" customHeight="1">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ht="13.5" customHeight="1">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ht="13.5" customHeight="1">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ht="13.5" customHeight="1">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ht="13.5" customHeight="1">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ht="13.5" customHeight="1">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ht="13.5" customHeight="1">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ht="13.5" customHeight="1">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ht="13.5" customHeight="1">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ht="13.5" customHeight="1">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ht="13.5" customHeight="1">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ht="13.5" customHeight="1">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ht="13.5" customHeight="1">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ht="13.5" customHeight="1">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ht="13.5" customHeight="1">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ht="13.5" customHeight="1">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ht="13.5" customHeight="1">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ht="13.5" customHeight="1">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ht="13.5" customHeight="1">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ht="13.5" customHeight="1">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ht="13.5" customHeight="1">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ht="13.5" customHeight="1">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ht="13.5" customHeight="1">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ht="13.5" customHeight="1">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ht="13.5" customHeight="1">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ht="13.5" customHeight="1">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ht="13.5" customHeight="1">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ht="13.5" customHeight="1">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ht="13.5" customHeight="1">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ht="13.5" customHeight="1">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ht="13.5" customHeight="1">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ht="13.5" customHeight="1">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ht="13.5" customHeight="1">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ht="13.5" customHeight="1">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ht="13.5" customHeight="1">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ht="13.5" customHeight="1">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ht="13.5" customHeight="1">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ht="13.5" customHeight="1">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ht="13.5" customHeight="1">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ht="13.5" customHeight="1">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ht="13.5" customHeight="1">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ht="13.5" customHeight="1">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ht="13.5" customHeight="1">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ht="13.5" customHeight="1">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ht="13.5" customHeight="1">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ht="13.5" customHeight="1">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ht="13.5" customHeight="1">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ht="13.5" customHeight="1">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ht="13.5" customHeight="1">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ht="13.5" customHeight="1">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ht="13.5" customHeight="1">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ht="13.5" customHeight="1">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ht="13.5" customHeight="1">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ht="13.5" customHeight="1">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ht="13.5" customHeight="1">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ht="13.5" customHeight="1">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ht="13.5" customHeight="1">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ht="13.5" customHeight="1">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ht="13.5" customHeight="1">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ht="13.5" customHeight="1">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ht="13.5" customHeight="1">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ht="13.5" customHeight="1">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ht="13.5" customHeight="1">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ht="13.5" customHeight="1">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ht="13.5" customHeight="1">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ht="13.5" customHeight="1">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ht="13.5" customHeight="1">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ht="13.5" customHeight="1">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ht="13.5" customHeight="1">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ht="13.5" customHeight="1">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ht="13.5" customHeight="1">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ht="13.5" customHeight="1">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ht="13.5" customHeight="1">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ht="13.5" customHeight="1">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ht="13.5" customHeight="1">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ht="13.5" customHeight="1">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ht="13.5" customHeight="1">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ht="13.5" customHeight="1">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ht="13.5" customHeight="1">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ht="13.5" customHeight="1">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ht="13.5" customHeight="1">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ht="13.5" customHeight="1">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ht="13.5" customHeight="1">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ht="13.5" customHeight="1">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ht="13.5" customHeight="1">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ht="13.5" customHeight="1">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ht="13.5" customHeight="1">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ht="13.5" customHeight="1">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ht="13.5" customHeight="1">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ht="13.5" customHeight="1">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ht="13.5" customHeight="1">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ht="13.5" customHeight="1">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ht="13.5" customHeight="1">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ht="13.5" customHeight="1">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ht="13.5" customHeight="1">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ht="13.5" customHeight="1">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ht="13.5" customHeight="1">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ht="13.5" customHeight="1">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ht="13.5" customHeight="1">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ht="13.5" customHeight="1">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ht="13.5" customHeight="1">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ht="13.5" customHeight="1">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ht="13.5" customHeight="1">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ht="13.5" customHeight="1">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ht="13.5" customHeight="1">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ht="13.5" customHeight="1">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ht="13.5" customHeight="1">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ht="13.5" customHeight="1">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ht="13.5" customHeight="1">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ht="13.5" customHeight="1">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ht="13.5" customHeight="1">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ht="13.5" customHeight="1">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ht="13.5" customHeight="1">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ht="13.5" customHeight="1">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ht="13.5" customHeight="1">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ht="13.5" customHeight="1">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ht="13.5" customHeight="1">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ht="13.5" customHeight="1">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ht="13.5" customHeight="1">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ht="13.5" customHeight="1">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ht="13.5" customHeight="1">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ht="13.5" customHeight="1">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ht="13.5" customHeight="1">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ht="13.5" customHeight="1">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ht="13.5" customHeight="1">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ht="13.5" customHeight="1">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ht="13.5" customHeight="1">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ht="13.5" customHeight="1">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ht="13.5" customHeight="1">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ht="13.5" customHeight="1">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ht="13.5" customHeight="1">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ht="13.5" customHeight="1">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ht="13.5" customHeight="1">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ht="13.5" customHeight="1">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ht="13.5" customHeight="1">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ht="13.5" customHeight="1">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ht="13.5" customHeight="1">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ht="13.5" customHeight="1">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ht="13.5" customHeight="1">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ht="13.5" customHeight="1">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ht="13.5" customHeight="1">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ht="13.5" customHeight="1">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ht="13.5" customHeight="1">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ht="13.5" customHeight="1">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ht="13.5" customHeight="1">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ht="13.5" customHeight="1">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ht="13.5" customHeight="1">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ht="13.5" customHeight="1">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ht="13.5" customHeight="1">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ht="13.5" customHeight="1">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ht="13.5" customHeight="1">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ht="13.5" customHeight="1">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ht="13.5" customHeight="1">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ht="13.5" customHeight="1">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ht="13.5" customHeight="1">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ht="13.5" customHeight="1">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ht="13.5" customHeight="1">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ht="13.5" customHeight="1">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ht="13.5" customHeight="1">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ht="13.5" customHeight="1">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ht="13.5" customHeight="1">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ht="13.5" customHeight="1">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ht="13.5" customHeight="1">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ht="13.5" customHeight="1">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ht="13.5" customHeight="1">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ht="13.5" customHeight="1">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ht="13.5" customHeight="1">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ht="13.5" customHeight="1">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ht="13.5" customHeight="1">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ht="13.5" customHeight="1">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ht="13.5" customHeight="1">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ht="13.5" customHeight="1">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ht="13.5" customHeight="1">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ht="13.5" customHeight="1">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ht="13.5" customHeight="1">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ht="13.5" customHeight="1">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ht="13.5" customHeight="1">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ht="13.5" customHeight="1">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ht="13.5" customHeight="1">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ht="13.5" customHeight="1">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ht="13.5" customHeight="1">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ht="13.5" customHeight="1">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ht="13.5" customHeight="1">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ht="13.5" customHeight="1">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ht="13.5" customHeight="1">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ht="13.5" customHeight="1">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ht="13.5" customHeight="1">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ht="13.5" customHeight="1">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ht="13.5" customHeight="1">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ht="13.5" customHeight="1">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ht="13.5" customHeight="1">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ht="13.5" customHeight="1">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ht="13.5" customHeight="1">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ht="13.5" customHeight="1">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ht="13.5" customHeight="1">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ht="13.5" customHeight="1">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ht="13.5" customHeight="1">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ht="13.5" customHeight="1">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ht="13.5" customHeight="1">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ht="13.5" customHeight="1">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ht="13.5" customHeight="1">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ht="13.5" customHeight="1">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ht="13.5" customHeight="1">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ht="13.5" customHeight="1">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ht="13.5" customHeight="1">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ht="13.5" customHeight="1">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ht="13.5" customHeight="1">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ht="13.5" customHeight="1">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ht="13.5" customHeight="1">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ht="13.5" customHeight="1">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ht="13.5" customHeight="1">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ht="13.5" customHeight="1">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ht="13.5" customHeight="1">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ht="13.5" customHeight="1">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ht="13.5" customHeight="1">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ht="13.5" customHeight="1">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ht="13.5" customHeight="1">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ht="13.5" customHeight="1">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ht="13.5" customHeight="1">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ht="13.5" customHeight="1">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ht="13.5" customHeight="1">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ht="13.5" customHeight="1">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ht="13.5" customHeight="1">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ht="13.5" customHeight="1">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ht="13.5" customHeight="1">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ht="13.5" customHeight="1">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ht="13.5" customHeight="1">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ht="13.5" customHeight="1">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ht="13.5" customHeight="1">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ht="13.5" customHeight="1">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ht="13.5" customHeight="1">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ht="13.5" customHeight="1">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ht="13.5" customHeight="1">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ht="13.5" customHeight="1">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ht="13.5" customHeight="1">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ht="13.5" customHeight="1">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ht="13.5" customHeight="1">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ht="13.5" customHeight="1">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ht="13.5" customHeight="1">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ht="13.5" customHeight="1">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ht="13.5" customHeight="1">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ht="13.5" customHeight="1">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ht="13.5" customHeight="1">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ht="13.5" customHeight="1">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ht="13.5" customHeight="1">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ht="13.5" customHeight="1">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ht="13.5" customHeight="1">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ht="13.5" customHeight="1">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ht="13.5" customHeight="1">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ht="13.5" customHeight="1">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ht="13.5" customHeight="1">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ht="13.5" customHeight="1">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ht="13.5" customHeight="1">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ht="13.5" customHeight="1">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ht="13.5" customHeight="1">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ht="13.5" customHeight="1">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ht="13.5" customHeight="1">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ht="13.5" customHeight="1">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ht="13.5" customHeight="1">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ht="13.5" customHeight="1">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ht="13.5" customHeight="1">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ht="13.5" customHeight="1">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ht="13.5" customHeight="1">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ht="13.5" customHeight="1">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ht="13.5" customHeight="1">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ht="13.5" customHeight="1">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ht="13.5" customHeight="1">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ht="13.5" customHeight="1">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ht="13.5" customHeight="1">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ht="13.5" customHeight="1">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ht="13.5" customHeight="1">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ht="13.5" customHeight="1">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ht="13.5" customHeight="1">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ht="13.5" customHeight="1">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ht="13.5" customHeight="1">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ht="13.5" customHeight="1">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ht="13.5" customHeight="1">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ht="13.5" customHeight="1">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ht="13.5" customHeight="1">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ht="13.5" customHeight="1">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ht="13.5" customHeight="1">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ht="13.5" customHeight="1">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ht="13.5" customHeight="1">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ht="13.5" customHeight="1">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ht="13.5" customHeight="1">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ht="13.5" customHeight="1">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ht="13.5" customHeight="1">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ht="13.5" customHeight="1">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ht="13.5" customHeight="1">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ht="13.5" customHeight="1">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ht="13.5" customHeight="1">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ht="13.5" customHeight="1">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ht="13.5" customHeight="1">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ht="13.5" customHeight="1">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ht="13.5" customHeight="1">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ht="13.5" customHeight="1">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ht="13.5" customHeight="1">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ht="13.5" customHeight="1">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ht="13.5" customHeight="1">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ht="13.5" customHeight="1">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ht="13.5" customHeight="1">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ht="13.5" customHeight="1">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ht="13.5" customHeight="1">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ht="13.5" customHeight="1">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ht="13.5" customHeight="1">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ht="13.5" customHeight="1">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ht="13.5" customHeight="1">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ht="13.5" customHeight="1">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ht="13.5" customHeight="1">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ht="13.5" customHeight="1">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ht="13.5" customHeight="1">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ht="13.5" customHeight="1">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ht="13.5" customHeight="1">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ht="13.5" customHeight="1">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ht="13.5" customHeight="1">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ht="13.5" customHeight="1">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ht="13.5" customHeight="1">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ht="13.5" customHeight="1">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ht="13.5" customHeight="1">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ht="13.5" customHeight="1">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ht="13.5" customHeight="1">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ht="13.5" customHeight="1">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ht="13.5" customHeight="1">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ht="13.5" customHeight="1">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ht="13.5" customHeight="1">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ht="13.5" customHeight="1">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ht="13.5" customHeight="1">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ht="13.5" customHeight="1">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ht="13.5" customHeight="1">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ht="13.5" customHeight="1">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ht="13.5" customHeight="1">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ht="13.5" customHeight="1">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ht="13.5" customHeight="1">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ht="13.5" customHeight="1">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ht="13.5" customHeight="1">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ht="13.5" customHeight="1">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ht="13.5" customHeight="1">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ht="13.5" customHeight="1">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ht="13.5" customHeight="1">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ht="13.5" customHeight="1">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ht="13.5" customHeight="1">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ht="13.5" customHeight="1">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ht="13.5" customHeight="1">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ht="13.5" customHeight="1">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ht="13.5" customHeight="1">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ht="13.5" customHeight="1">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ht="13.5" customHeight="1">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ht="13.5" customHeight="1">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ht="13.5" customHeight="1">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ht="13.5" customHeight="1">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ht="13.5" customHeight="1">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ht="13.5" customHeight="1">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ht="13.5" customHeight="1">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ht="13.5" customHeight="1">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ht="13.5" customHeight="1">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ht="13.5" customHeight="1">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ht="13.5" customHeight="1">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ht="13.5" customHeight="1">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ht="13.5" customHeight="1">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ht="13.5" customHeight="1">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ht="13.5" customHeight="1">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ht="13.5" customHeight="1">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ht="13.5" customHeight="1">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ht="13.5" customHeight="1">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ht="13.5" customHeight="1">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ht="13.5" customHeight="1">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ht="13.5" customHeight="1">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ht="13.5" customHeight="1">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ht="13.5" customHeight="1">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ht="13.5" customHeight="1">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ht="13.5" customHeight="1">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ht="13.5" customHeight="1">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ht="13.5" customHeight="1">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ht="13.5" customHeight="1">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ht="13.5" customHeight="1">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ht="13.5" customHeight="1">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ht="13.5" customHeight="1">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ht="13.5" customHeight="1">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ht="13.5" customHeight="1">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ht="13.5" customHeight="1">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ht="13.5" customHeight="1">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ht="13.5" customHeight="1">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ht="13.5" customHeight="1">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ht="13.5" customHeight="1">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ht="13.5" customHeight="1">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ht="13.5" customHeight="1">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ht="13.5" customHeight="1">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ht="13.5" customHeight="1">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ht="13.5" customHeight="1">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ht="13.5" customHeight="1">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ht="13.5" customHeight="1">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ht="13.5" customHeight="1">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ht="13.5" customHeight="1">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ht="13.5" customHeight="1">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ht="13.5" customHeight="1">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ht="13.5" customHeight="1">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ht="13.5" customHeight="1">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ht="13.5" customHeight="1">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ht="13.5" customHeight="1">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ht="13.5" customHeight="1">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ht="13.5" customHeight="1">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ht="13.5" customHeight="1">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ht="13.5" customHeight="1">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ht="13.5" customHeight="1">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ht="13.5" customHeight="1">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ht="13.5" customHeight="1">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ht="13.5" customHeight="1">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ht="13.5" customHeight="1">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ht="13.5" customHeight="1">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ht="13.5" customHeight="1">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ht="13.5" customHeight="1">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ht="13.5" customHeight="1">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ht="13.5" customHeight="1">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ht="13.5" customHeight="1">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ht="13.5" customHeight="1">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ht="13.5" customHeight="1">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ht="13.5" customHeight="1">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ht="13.5" customHeight="1">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ht="13.5" customHeight="1">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ht="13.5" customHeight="1">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ht="13.5" customHeight="1">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ht="13.5" customHeight="1">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ht="13.5" customHeight="1">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ht="13.5" customHeight="1">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ht="13.5" customHeight="1">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ht="13.5" customHeight="1">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ht="13.5" customHeight="1">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ht="13.5" customHeight="1">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ht="13.5" customHeight="1">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ht="13.5" customHeight="1">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ht="13.5" customHeight="1">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ht="13.5" customHeight="1">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ht="13.5" customHeight="1">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ht="13.5" customHeight="1">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ht="13.5" customHeight="1">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ht="13.5" customHeight="1">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ht="13.5" customHeight="1">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ht="13.5" customHeight="1">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ht="13.5" customHeight="1">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ht="13.5" customHeight="1">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ht="13.5" customHeight="1">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ht="13.5" customHeight="1">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ht="13.5" customHeight="1">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ht="13.5" customHeight="1">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ht="13.5" customHeight="1">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ht="13.5" customHeight="1">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ht="13.5" customHeight="1">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ht="13.5" customHeight="1">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ht="13.5" customHeight="1">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ht="13.5" customHeight="1">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ht="13.5" customHeight="1">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ht="13.5" customHeight="1">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ht="13.5" customHeight="1">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ht="13.5" customHeight="1">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ht="13.5" customHeight="1">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ht="13.5" customHeight="1">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ht="13.5" customHeight="1">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ht="13.5" customHeight="1">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ht="13.5" customHeight="1">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ht="13.5" customHeight="1">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ht="13.5" customHeight="1">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ht="13.5" customHeight="1">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ht="13.5" customHeight="1">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ht="13.5" customHeight="1">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ht="13.5" customHeight="1">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ht="13.5" customHeight="1">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ht="13.5" customHeight="1">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ht="13.5" customHeight="1">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ht="13.5" customHeight="1">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ht="13.5" customHeight="1">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ht="13.5" customHeight="1">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ht="13.5" customHeight="1">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ht="13.5" customHeight="1">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ht="13.5" customHeight="1">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ht="13.5" customHeight="1">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ht="13.5" customHeight="1">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ht="13.5" customHeight="1">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ht="13.5" customHeight="1">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ht="13.5" customHeight="1">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ht="13.5" customHeight="1">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ht="13.5" customHeight="1">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ht="13.5" customHeight="1">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ht="13.5" customHeight="1">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ht="13.5" customHeight="1">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ht="13.5" customHeight="1">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ht="13.5" customHeight="1">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ht="13.5" customHeight="1">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ht="13.5" customHeight="1">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ht="13.5" customHeight="1">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ht="13.5" customHeight="1">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ht="13.5" customHeight="1">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ht="13.5" customHeight="1">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ht="13.5" customHeight="1">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ht="13.5" customHeight="1">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ht="13.5" customHeight="1">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ht="13.5" customHeight="1">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ht="13.5" customHeight="1">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ht="13.5" customHeight="1">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ht="13.5" customHeight="1">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ht="13.5" customHeight="1">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ht="13.5" customHeight="1">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ht="13.5" customHeight="1">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ht="13.5" customHeight="1">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ht="13.5" customHeight="1">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ht="13.5" customHeight="1">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ht="13.5" customHeight="1">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ht="13.5" customHeight="1">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ht="13.5" customHeight="1">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ht="13.5" customHeight="1">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ht="13.5" customHeight="1">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ht="13.5" customHeight="1">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ht="13.5" customHeight="1">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ht="13.5" customHeight="1">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ht="13.5" customHeight="1">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ht="13.5" customHeight="1">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ht="13.5" customHeight="1">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ht="13.5" customHeight="1">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ht="13.5" customHeight="1">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ht="13.5" customHeight="1">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ht="13.5" customHeight="1">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ht="13.5" customHeight="1">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ht="13.5" customHeight="1">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ht="13.5" customHeight="1">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ht="13.5" customHeight="1">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ht="13.5" customHeight="1">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ht="13.5" customHeight="1">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ht="13.5" customHeight="1">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ht="13.5" customHeight="1">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ht="13.5" customHeight="1">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ht="13.5" customHeight="1">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ht="13.5" customHeight="1">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ht="13.5" customHeight="1">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ht="13.5" customHeight="1">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ht="13.5" customHeight="1">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ht="13.5" customHeight="1">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ht="13.5" customHeight="1">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ht="13.5" customHeight="1">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ht="13.5" customHeight="1">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ht="13.5" customHeight="1">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ht="13.5" customHeight="1">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ht="13.5" customHeight="1">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ht="13.5" customHeight="1">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ht="13.5" customHeight="1">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ht="13.5" customHeight="1">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ht="13.5" customHeight="1">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ht="13.5" customHeight="1">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ht="13.5" customHeight="1">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ht="13.5" customHeight="1">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ht="13.5" customHeight="1">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ht="13.5" customHeight="1">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ht="13.5" customHeight="1">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ht="13.5" customHeight="1">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ht="13.5" customHeight="1">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ht="13.5" customHeight="1">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ht="13.5" customHeight="1">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ht="13.5" customHeight="1">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ht="13.5" customHeight="1">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ht="13.5" customHeight="1">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ht="13.5" customHeight="1">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ht="13.5" customHeight="1">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ht="13.5" customHeight="1">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ht="13.5" customHeight="1">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ht="13.5" customHeight="1">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ht="13.5" customHeight="1">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ht="13.5" customHeight="1">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ht="13.5" customHeight="1">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ht="13.5" customHeight="1">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ht="13.5" customHeight="1">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ht="13.5" customHeight="1">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ht="13.5" customHeight="1">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ht="13.5" customHeight="1">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ht="13.5" customHeight="1">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ht="13.5" customHeight="1">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ht="13.5" customHeight="1">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ht="13.5" customHeight="1">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ht="13.5" customHeight="1">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ht="13.5" customHeight="1">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ht="13.5" customHeight="1">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ht="13.5" customHeight="1">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ht="13.5" customHeight="1">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ht="13.5" customHeight="1">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ht="13.5" customHeight="1">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ht="13.5" customHeight="1">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ht="13.5" customHeight="1">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ht="13.5" customHeight="1">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ht="13.5" customHeight="1">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ht="13.5" customHeight="1">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ht="13.5" customHeight="1">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ht="13.5" customHeight="1">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ht="13.5" customHeight="1">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ht="13.5" customHeight="1">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ht="13.5" customHeight="1">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ht="13.5" customHeight="1">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ht="13.5" customHeight="1">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ht="13.5" customHeight="1">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ht="13.5" customHeight="1">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ht="13.5" customHeight="1">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ht="13.5" customHeight="1">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ht="13.5" customHeight="1">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ht="13.5" customHeight="1">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ht="13.5" customHeight="1">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ht="13.5" customHeight="1">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ht="13.5" customHeight="1">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ht="13.5" customHeight="1">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ht="13.5" customHeight="1">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ht="13.5" customHeight="1">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ht="13.5" customHeight="1">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ht="13.5" customHeight="1">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ht="13.5" customHeight="1">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ht="13.5" customHeight="1">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ht="13.5" customHeight="1">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ht="13.5" customHeight="1">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ht="13.5" customHeight="1">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ht="13.5" customHeight="1">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ht="13.5" customHeight="1">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ht="13.5" customHeight="1">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ht="13.5" customHeight="1">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ht="13.5" customHeight="1">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ht="13.5" customHeight="1">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ht="13.5" customHeight="1">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ht="13.5" customHeight="1">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ht="13.5" customHeight="1">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ht="13.5" customHeight="1">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ht="13.5" customHeight="1">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ht="13.5" customHeight="1">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ht="13.5" customHeight="1">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ht="13.5" customHeight="1">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ht="13.5" customHeight="1">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ht="13.5" customHeight="1">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ht="13.5" customHeight="1">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ht="13.5" customHeight="1">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ht="13.5" customHeight="1">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ht="13.5" customHeight="1">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ht="13.5" customHeight="1">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ht="13.5" customHeight="1">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ht="13.5" customHeight="1">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ht="13.5" customHeight="1">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ht="13.5" customHeight="1">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ht="13.5" customHeight="1">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ht="13.5" customHeight="1">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ht="13.5" customHeight="1">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ht="13.5" customHeight="1">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ht="13.5" customHeight="1">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ht="13.5" customHeight="1">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ht="13.5" customHeight="1">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ht="13.5" customHeight="1">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ht="13.5" customHeight="1">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ht="13.5" customHeight="1">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ht="13.5" customHeight="1">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ht="13.5" customHeight="1">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ht="13.5" customHeight="1">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ht="13.5" customHeight="1">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ht="13.5" customHeight="1">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ht="13.5" customHeight="1">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ht="13.5" customHeight="1">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ht="13.5" customHeight="1">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ht="13.5" customHeight="1">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ht="13.5" customHeight="1">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ht="13.5" customHeight="1">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ht="13.5" customHeight="1">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ht="13.5" customHeight="1">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ht="13.5" customHeight="1">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ht="13.5" customHeight="1">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ht="13.5" customHeight="1">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ht="13.5" customHeight="1">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ht="13.5" customHeight="1">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ht="13.5" customHeight="1">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ht="13.5" customHeight="1">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ht="13.5" customHeight="1">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ht="13.5" customHeight="1">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ht="13.5" customHeight="1">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ht="13.5" customHeight="1">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ht="13.5" customHeight="1">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ht="13.5" customHeight="1">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ht="13.5" customHeight="1">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ht="13.5" customHeight="1">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ht="13.5" customHeight="1">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ht="13.5" customHeight="1">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ht="13.5" customHeight="1">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ht="13.5" customHeight="1">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ht="13.5" customHeight="1">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ht="13.5" customHeight="1">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ht="13.5" customHeight="1">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ht="13.5" customHeight="1">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ht="13.5" customHeight="1">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ht="13.5" customHeight="1">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ht="13.5" customHeight="1">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ht="13.5" customHeight="1">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ht="13.5" customHeight="1">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ht="13.5" customHeight="1">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ht="13.5" customHeight="1">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ht="13.5" customHeight="1">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ht="13.5" customHeight="1">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ht="13.5" customHeight="1">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ht="13.5" customHeight="1">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ht="13.5" customHeight="1">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ht="13.5" customHeight="1">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ht="13.5" customHeight="1">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ht="13.5" customHeight="1">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1">
    <mergeCell ref="A9:B9"/>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88"/>
    <col customWidth="1" min="2" max="2" width="11.0"/>
    <col customWidth="1" min="3" max="3" width="4.38"/>
    <col customWidth="1" min="4" max="5" width="9.13"/>
    <col customWidth="1" min="6" max="6" width="7.88"/>
    <col customWidth="1" min="7" max="26" width="8.63"/>
  </cols>
  <sheetData>
    <row r="1" ht="11.25" customHeight="1">
      <c r="A1" s="184"/>
      <c r="B1" s="184"/>
      <c r="C1" s="184"/>
      <c r="D1" s="184"/>
      <c r="E1" s="184"/>
      <c r="F1" s="184"/>
      <c r="G1" s="184"/>
      <c r="H1" s="184"/>
      <c r="I1" s="184"/>
      <c r="J1" s="184"/>
      <c r="K1" s="184"/>
      <c r="L1" s="184"/>
      <c r="M1" s="184"/>
      <c r="N1" s="184"/>
      <c r="O1" s="184"/>
      <c r="P1" s="184"/>
      <c r="Q1" s="184"/>
      <c r="R1" s="184"/>
      <c r="S1" s="184"/>
      <c r="T1" s="184"/>
      <c r="U1" s="184"/>
      <c r="V1" s="184"/>
      <c r="W1" s="184"/>
      <c r="X1" s="184"/>
      <c r="Y1" s="184"/>
      <c r="Z1" s="184"/>
    </row>
    <row r="2" ht="11.25" customHeight="1">
      <c r="A2" s="184" t="s">
        <v>52</v>
      </c>
      <c r="B2" s="184" t="s">
        <v>53</v>
      </c>
      <c r="C2" s="184">
        <v>2011.0</v>
      </c>
      <c r="D2" s="184" t="s">
        <v>54</v>
      </c>
      <c r="E2" s="184"/>
      <c r="F2" s="184"/>
      <c r="G2" s="184"/>
      <c r="H2" s="184"/>
      <c r="I2" s="184"/>
      <c r="J2" s="184"/>
      <c r="K2" s="184"/>
      <c r="L2" s="184"/>
      <c r="M2" s="184"/>
      <c r="N2" s="184"/>
      <c r="O2" s="184"/>
      <c r="P2" s="184"/>
      <c r="Q2" s="184"/>
      <c r="R2" s="184"/>
      <c r="S2" s="184"/>
      <c r="T2" s="184"/>
      <c r="U2" s="184"/>
      <c r="V2" s="184"/>
      <c r="W2" s="184"/>
      <c r="X2" s="184"/>
      <c r="Y2" s="184"/>
      <c r="Z2" s="184"/>
    </row>
    <row r="3" ht="11.25" customHeight="1">
      <c r="A3" s="184" t="s">
        <v>55</v>
      </c>
      <c r="B3" s="184" t="s">
        <v>56</v>
      </c>
      <c r="C3" s="184">
        <f t="shared" ref="C3:C21" si="1">1+C2</f>
        <v>2012</v>
      </c>
      <c r="D3" s="184" t="s">
        <v>57</v>
      </c>
      <c r="E3" s="184"/>
      <c r="F3" s="184"/>
      <c r="G3" s="184"/>
      <c r="H3" s="184"/>
      <c r="I3" s="184"/>
      <c r="J3" s="184"/>
      <c r="K3" s="184"/>
      <c r="L3" s="184"/>
      <c r="M3" s="184"/>
      <c r="N3" s="184"/>
      <c r="O3" s="184"/>
      <c r="P3" s="184"/>
      <c r="Q3" s="184"/>
      <c r="R3" s="184"/>
      <c r="S3" s="184"/>
      <c r="T3" s="184"/>
      <c r="U3" s="184"/>
      <c r="V3" s="184"/>
      <c r="W3" s="184"/>
      <c r="X3" s="184"/>
      <c r="Y3" s="184"/>
      <c r="Z3" s="184"/>
    </row>
    <row r="4" ht="11.25" customHeight="1">
      <c r="A4" s="184" t="s">
        <v>58</v>
      </c>
      <c r="B4" s="184" t="s">
        <v>59</v>
      </c>
      <c r="C4" s="184">
        <f t="shared" si="1"/>
        <v>2013</v>
      </c>
      <c r="D4" s="184" t="s">
        <v>60</v>
      </c>
      <c r="E4" s="184"/>
      <c r="F4" s="184"/>
      <c r="G4" s="184"/>
      <c r="H4" s="184"/>
      <c r="I4" s="184"/>
      <c r="J4" s="184"/>
      <c r="K4" s="184"/>
      <c r="L4" s="184"/>
      <c r="M4" s="184"/>
      <c r="N4" s="184"/>
      <c r="O4" s="184"/>
      <c r="P4" s="184"/>
      <c r="Q4" s="184"/>
      <c r="R4" s="184"/>
      <c r="S4" s="184"/>
      <c r="T4" s="184"/>
      <c r="U4" s="184"/>
      <c r="V4" s="184"/>
      <c r="W4" s="184"/>
      <c r="X4" s="184"/>
      <c r="Y4" s="184"/>
      <c r="Z4" s="184"/>
    </row>
    <row r="5" ht="11.25" customHeight="1">
      <c r="A5" s="184" t="s">
        <v>61</v>
      </c>
      <c r="B5" s="184" t="s">
        <v>62</v>
      </c>
      <c r="C5" s="184">
        <f t="shared" si="1"/>
        <v>2014</v>
      </c>
      <c r="D5" s="184"/>
      <c r="E5" s="184"/>
      <c r="F5" s="184"/>
      <c r="G5" s="184"/>
      <c r="H5" s="184"/>
      <c r="I5" s="184"/>
      <c r="J5" s="184"/>
      <c r="K5" s="184"/>
      <c r="L5" s="184"/>
      <c r="M5" s="184"/>
      <c r="N5" s="184"/>
      <c r="O5" s="184"/>
      <c r="P5" s="184"/>
      <c r="Q5" s="184"/>
      <c r="R5" s="184"/>
      <c r="S5" s="184"/>
      <c r="T5" s="184"/>
      <c r="U5" s="184"/>
      <c r="V5" s="184"/>
      <c r="W5" s="184"/>
      <c r="X5" s="184"/>
      <c r="Y5" s="184"/>
      <c r="Z5" s="184"/>
    </row>
    <row r="6" ht="11.25" customHeight="1">
      <c r="A6" s="184" t="s">
        <v>63</v>
      </c>
      <c r="B6" s="184" t="s">
        <v>64</v>
      </c>
      <c r="C6" s="184">
        <f t="shared" si="1"/>
        <v>2015</v>
      </c>
      <c r="D6" s="184"/>
      <c r="E6" s="184"/>
      <c r="F6" s="184"/>
      <c r="G6" s="184"/>
      <c r="H6" s="184"/>
      <c r="I6" s="184"/>
      <c r="J6" s="184"/>
      <c r="K6" s="184"/>
      <c r="L6" s="184"/>
      <c r="M6" s="184"/>
      <c r="N6" s="184"/>
      <c r="O6" s="184"/>
      <c r="P6" s="184"/>
      <c r="Q6" s="184"/>
      <c r="R6" s="184"/>
      <c r="S6" s="184"/>
      <c r="T6" s="184"/>
      <c r="U6" s="184"/>
      <c r="V6" s="184"/>
      <c r="W6" s="184"/>
      <c r="X6" s="184"/>
      <c r="Y6" s="184"/>
      <c r="Z6" s="184"/>
    </row>
    <row r="7" ht="11.25" customHeight="1">
      <c r="A7" s="184" t="s">
        <v>65</v>
      </c>
      <c r="B7" s="184" t="s">
        <v>66</v>
      </c>
      <c r="C7" s="184">
        <f t="shared" si="1"/>
        <v>2016</v>
      </c>
      <c r="D7" s="184"/>
      <c r="E7" s="184"/>
      <c r="F7" s="184"/>
      <c r="G7" s="184"/>
      <c r="H7" s="184"/>
      <c r="I7" s="184"/>
      <c r="J7" s="184"/>
      <c r="K7" s="184"/>
      <c r="L7" s="184"/>
      <c r="M7" s="184"/>
      <c r="N7" s="184"/>
      <c r="O7" s="184"/>
      <c r="P7" s="184"/>
      <c r="Q7" s="184"/>
      <c r="R7" s="184"/>
      <c r="S7" s="184"/>
      <c r="T7" s="184"/>
      <c r="U7" s="184"/>
      <c r="V7" s="184"/>
      <c r="W7" s="184"/>
      <c r="X7" s="184"/>
      <c r="Y7" s="184"/>
      <c r="Z7" s="184"/>
    </row>
    <row r="8" ht="11.25" customHeight="1">
      <c r="A8" s="184" t="s">
        <v>67</v>
      </c>
      <c r="B8" s="184" t="s">
        <v>68</v>
      </c>
      <c r="C8" s="184">
        <f t="shared" si="1"/>
        <v>2017</v>
      </c>
      <c r="D8" s="184"/>
      <c r="E8" s="184"/>
      <c r="F8" s="184"/>
      <c r="G8" s="184"/>
      <c r="H8" s="184"/>
      <c r="I8" s="184"/>
      <c r="J8" s="184"/>
      <c r="K8" s="184"/>
      <c r="L8" s="184"/>
      <c r="M8" s="184"/>
      <c r="N8" s="184"/>
      <c r="O8" s="184"/>
      <c r="P8" s="184"/>
      <c r="Q8" s="184"/>
      <c r="R8" s="184"/>
      <c r="S8" s="184"/>
      <c r="T8" s="184"/>
      <c r="U8" s="184"/>
      <c r="V8" s="184"/>
      <c r="W8" s="184"/>
      <c r="X8" s="184"/>
      <c r="Y8" s="184"/>
      <c r="Z8" s="184"/>
    </row>
    <row r="9" ht="11.25" customHeight="1">
      <c r="A9" s="184" t="s">
        <v>69</v>
      </c>
      <c r="B9" s="184" t="s">
        <v>70</v>
      </c>
      <c r="C9" s="184">
        <f t="shared" si="1"/>
        <v>2018</v>
      </c>
      <c r="D9" s="184"/>
      <c r="E9" s="184"/>
      <c r="F9" s="184"/>
      <c r="G9" s="184"/>
      <c r="H9" s="184"/>
      <c r="I9" s="184"/>
      <c r="J9" s="184"/>
      <c r="K9" s="184"/>
      <c r="L9" s="184"/>
      <c r="M9" s="184"/>
      <c r="N9" s="184"/>
      <c r="O9" s="184"/>
      <c r="P9" s="184"/>
      <c r="Q9" s="184"/>
      <c r="R9" s="184"/>
      <c r="S9" s="184"/>
      <c r="T9" s="184"/>
      <c r="U9" s="184"/>
      <c r="V9" s="184"/>
      <c r="W9" s="184"/>
      <c r="X9" s="184"/>
      <c r="Y9" s="184"/>
      <c r="Z9" s="184"/>
    </row>
    <row r="10" ht="11.25" customHeight="1">
      <c r="A10" s="184" t="s">
        <v>71</v>
      </c>
      <c r="B10" s="184" t="s">
        <v>72</v>
      </c>
      <c r="C10" s="184">
        <f t="shared" si="1"/>
        <v>2019</v>
      </c>
      <c r="D10" s="184"/>
      <c r="E10" s="184"/>
      <c r="F10" s="184"/>
      <c r="G10" s="184"/>
      <c r="H10" s="184"/>
      <c r="I10" s="184"/>
      <c r="J10" s="184"/>
      <c r="K10" s="184"/>
      <c r="L10" s="184"/>
      <c r="M10" s="184"/>
      <c r="N10" s="184"/>
      <c r="O10" s="184"/>
      <c r="P10" s="184"/>
      <c r="Q10" s="184"/>
      <c r="R10" s="184"/>
      <c r="S10" s="184"/>
      <c r="T10" s="184"/>
      <c r="U10" s="184"/>
      <c r="V10" s="184"/>
      <c r="W10" s="184"/>
      <c r="X10" s="184"/>
      <c r="Y10" s="184"/>
      <c r="Z10" s="184"/>
    </row>
    <row r="11" ht="11.25" customHeight="1">
      <c r="A11" s="184" t="s">
        <v>73</v>
      </c>
      <c r="B11" s="184" t="s">
        <v>74</v>
      </c>
      <c r="C11" s="184">
        <f t="shared" si="1"/>
        <v>2020</v>
      </c>
      <c r="D11" s="184"/>
      <c r="E11" s="184"/>
      <c r="F11" s="184"/>
      <c r="G11" s="184"/>
      <c r="H11" s="184"/>
      <c r="I11" s="184"/>
      <c r="J11" s="184"/>
      <c r="K11" s="184"/>
      <c r="L11" s="184"/>
      <c r="M11" s="184"/>
      <c r="N11" s="184"/>
      <c r="O11" s="184"/>
      <c r="P11" s="184"/>
      <c r="Q11" s="184"/>
      <c r="R11" s="184"/>
      <c r="S11" s="184"/>
      <c r="T11" s="184"/>
      <c r="U11" s="184"/>
      <c r="V11" s="184"/>
      <c r="W11" s="184"/>
      <c r="X11" s="184"/>
      <c r="Y11" s="184"/>
      <c r="Z11" s="184"/>
    </row>
    <row r="12" ht="11.25" customHeight="1">
      <c r="A12" s="184" t="s">
        <v>75</v>
      </c>
      <c r="B12" s="184" t="s">
        <v>76</v>
      </c>
      <c r="C12" s="184">
        <f t="shared" si="1"/>
        <v>2021</v>
      </c>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ht="11.25" customHeight="1">
      <c r="A13" s="184" t="s">
        <v>77</v>
      </c>
      <c r="B13" s="184" t="s">
        <v>78</v>
      </c>
      <c r="C13" s="184">
        <f t="shared" si="1"/>
        <v>2022</v>
      </c>
      <c r="D13" s="184"/>
      <c r="E13" s="184"/>
      <c r="F13" s="184"/>
      <c r="G13" s="184"/>
      <c r="H13" s="184"/>
      <c r="I13" s="184"/>
      <c r="J13" s="184"/>
      <c r="K13" s="184"/>
      <c r="L13" s="184"/>
      <c r="M13" s="184"/>
      <c r="N13" s="184"/>
      <c r="O13" s="184"/>
      <c r="P13" s="184"/>
      <c r="Q13" s="184"/>
      <c r="R13" s="184"/>
      <c r="S13" s="184"/>
      <c r="T13" s="184"/>
      <c r="U13" s="184"/>
      <c r="V13" s="184"/>
      <c r="W13" s="184"/>
      <c r="X13" s="184"/>
      <c r="Y13" s="184"/>
      <c r="Z13" s="184"/>
    </row>
    <row r="14" ht="11.25" customHeight="1">
      <c r="A14" s="184"/>
      <c r="B14" s="184" t="s">
        <v>79</v>
      </c>
      <c r="C14" s="184">
        <f t="shared" si="1"/>
        <v>2023</v>
      </c>
      <c r="D14" s="184"/>
      <c r="E14" s="184"/>
      <c r="F14" s="184"/>
      <c r="G14" s="184"/>
      <c r="H14" s="184"/>
      <c r="I14" s="184"/>
      <c r="J14" s="184"/>
      <c r="K14" s="184"/>
      <c r="L14" s="184"/>
      <c r="M14" s="184"/>
      <c r="N14" s="184"/>
      <c r="O14" s="184"/>
      <c r="P14" s="184"/>
      <c r="Q14" s="184"/>
      <c r="R14" s="184"/>
      <c r="S14" s="184"/>
      <c r="T14" s="184"/>
      <c r="U14" s="184"/>
      <c r="V14" s="184"/>
      <c r="W14" s="184"/>
      <c r="X14" s="184"/>
      <c r="Y14" s="184"/>
      <c r="Z14" s="184"/>
    </row>
    <row r="15" ht="11.25" customHeight="1">
      <c r="A15" s="184"/>
      <c r="B15" s="184" t="s">
        <v>80</v>
      </c>
      <c r="C15" s="184">
        <f t="shared" si="1"/>
        <v>2024</v>
      </c>
      <c r="D15" s="184"/>
      <c r="E15" s="184"/>
      <c r="F15" s="184"/>
      <c r="G15" s="184"/>
      <c r="H15" s="184"/>
      <c r="I15" s="184"/>
      <c r="J15" s="184"/>
      <c r="K15" s="184"/>
      <c r="L15" s="184"/>
      <c r="M15" s="184"/>
      <c r="N15" s="184"/>
      <c r="O15" s="184"/>
      <c r="P15" s="184"/>
      <c r="Q15" s="184"/>
      <c r="R15" s="184"/>
      <c r="S15" s="184"/>
      <c r="T15" s="184"/>
      <c r="U15" s="184"/>
      <c r="V15" s="184"/>
      <c r="W15" s="184"/>
      <c r="X15" s="184"/>
      <c r="Y15" s="184"/>
      <c r="Z15" s="184"/>
    </row>
    <row r="16" ht="11.25" customHeight="1">
      <c r="A16" s="184"/>
      <c r="B16" s="184" t="s">
        <v>81</v>
      </c>
      <c r="C16" s="184">
        <f t="shared" si="1"/>
        <v>2025</v>
      </c>
      <c r="D16" s="184"/>
      <c r="E16" s="184"/>
      <c r="F16" s="184"/>
      <c r="G16" s="184"/>
      <c r="H16" s="184"/>
      <c r="I16" s="184"/>
      <c r="J16" s="184"/>
      <c r="K16" s="184"/>
      <c r="L16" s="184"/>
      <c r="M16" s="184"/>
      <c r="N16" s="184"/>
      <c r="O16" s="184"/>
      <c r="P16" s="184"/>
      <c r="Q16" s="184"/>
      <c r="R16" s="184"/>
      <c r="S16" s="184"/>
      <c r="T16" s="184"/>
      <c r="U16" s="184"/>
      <c r="V16" s="184"/>
      <c r="W16" s="184"/>
      <c r="X16" s="184"/>
      <c r="Y16" s="184"/>
      <c r="Z16" s="184"/>
    </row>
    <row r="17" ht="11.25" customHeight="1">
      <c r="A17" s="184"/>
      <c r="B17" s="184" t="s">
        <v>82</v>
      </c>
      <c r="C17" s="184">
        <f t="shared" si="1"/>
        <v>2026</v>
      </c>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ht="11.25" customHeight="1">
      <c r="A18" s="184"/>
      <c r="B18" s="184" t="s">
        <v>83</v>
      </c>
      <c r="C18" s="184">
        <f t="shared" si="1"/>
        <v>2027</v>
      </c>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ht="11.25" customHeight="1">
      <c r="A19" s="184"/>
      <c r="B19" s="184" t="s">
        <v>84</v>
      </c>
      <c r="C19" s="184">
        <f t="shared" si="1"/>
        <v>2028</v>
      </c>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ht="11.25" customHeight="1">
      <c r="A20" s="184"/>
      <c r="B20" s="184" t="s">
        <v>85</v>
      </c>
      <c r="C20" s="184">
        <f t="shared" si="1"/>
        <v>2029</v>
      </c>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ht="11.25" customHeight="1">
      <c r="A21" s="184"/>
      <c r="B21" s="184" t="s">
        <v>86</v>
      </c>
      <c r="C21" s="184">
        <f t="shared" si="1"/>
        <v>2030</v>
      </c>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ht="11.25" customHeight="1">
      <c r="A22" s="184"/>
      <c r="B22" s="184" t="s">
        <v>87</v>
      </c>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ht="11.25" customHeight="1">
      <c r="A23" s="184"/>
      <c r="B23" s="184" t="s">
        <v>88</v>
      </c>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ht="11.25" customHeight="1">
      <c r="A24" s="184"/>
      <c r="B24" s="184" t="s">
        <v>89</v>
      </c>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ht="11.25" customHeight="1">
      <c r="A25" s="184"/>
      <c r="B25" s="184" t="s">
        <v>90</v>
      </c>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ht="11.25" customHeight="1">
      <c r="A26" s="184"/>
      <c r="B26" s="184" t="s">
        <v>91</v>
      </c>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ht="11.25" customHeight="1">
      <c r="A27" s="184"/>
      <c r="B27" s="184" t="s">
        <v>92</v>
      </c>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ht="11.25" customHeight="1">
      <c r="A28" s="184"/>
      <c r="B28" s="184" t="s">
        <v>93</v>
      </c>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ht="11.25" customHeight="1">
      <c r="A29" s="184"/>
      <c r="B29" s="184" t="s">
        <v>94</v>
      </c>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ht="11.25" customHeight="1">
      <c r="A30" s="184"/>
      <c r="B30" s="184" t="s">
        <v>95</v>
      </c>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ht="11.25" customHeight="1">
      <c r="A31" s="184"/>
      <c r="B31" s="184" t="s">
        <v>96</v>
      </c>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ht="11.25" customHeight="1">
      <c r="A32" s="184"/>
      <c r="B32" s="184" t="s">
        <v>97</v>
      </c>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ht="11.25" customHeight="1">
      <c r="A33" s="184"/>
      <c r="B33" s="184" t="s">
        <v>98</v>
      </c>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ht="11.25" customHeight="1">
      <c r="A34" s="184"/>
      <c r="B34" s="184" t="s">
        <v>99</v>
      </c>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ht="11.25" customHeight="1">
      <c r="A35" s="184"/>
      <c r="B35" s="184" t="s">
        <v>100</v>
      </c>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ht="11.25" customHeight="1">
      <c r="A36" s="184"/>
      <c r="B36" s="184" t="s">
        <v>101</v>
      </c>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ht="11.25" customHeight="1">
      <c r="A37" s="184"/>
      <c r="B37" s="184" t="s">
        <v>102</v>
      </c>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ht="11.25" customHeight="1">
      <c r="A38" s="184"/>
      <c r="B38" s="184" t="s">
        <v>103</v>
      </c>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ht="11.25" customHeight="1">
      <c r="A39" s="184"/>
      <c r="B39" s="184" t="s">
        <v>104</v>
      </c>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ht="11.25" customHeight="1">
      <c r="A40" s="184"/>
      <c r="B40" s="184" t="s">
        <v>105</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ht="11.25" customHeight="1">
      <c r="A41" s="184"/>
      <c r="B41" s="184" t="s">
        <v>106</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ht="11.25" customHeight="1">
      <c r="A42" s="184"/>
      <c r="B42" s="184" t="s">
        <v>107</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ht="11.25" customHeight="1">
      <c r="A43" s="184"/>
      <c r="B43" s="184" t="s">
        <v>108</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ht="11.25" customHeight="1">
      <c r="A44" s="184"/>
      <c r="B44" s="184" t="s">
        <v>109</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ht="11.25" customHeight="1">
      <c r="A45" s="184"/>
      <c r="B45" s="184" t="s">
        <v>110</v>
      </c>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ht="11.25" customHeight="1">
      <c r="A46" s="184"/>
      <c r="B46" s="184" t="s">
        <v>111</v>
      </c>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ht="11.25" customHeight="1">
      <c r="A47" s="184"/>
      <c r="B47" s="184" t="s">
        <v>112</v>
      </c>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ht="11.25" customHeight="1">
      <c r="A48" s="184"/>
      <c r="B48" s="184" t="s">
        <v>113</v>
      </c>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ht="11.25" customHeight="1">
      <c r="A49" s="184"/>
      <c r="B49" s="184" t="s">
        <v>114</v>
      </c>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ht="11.25" customHeight="1">
      <c r="A50" s="184"/>
      <c r="B50" s="184" t="s">
        <v>115</v>
      </c>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ht="11.25" customHeight="1">
      <c r="A51" s="184"/>
      <c r="B51" s="184" t="s">
        <v>116</v>
      </c>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ht="11.25" customHeight="1">
      <c r="A52" s="184"/>
      <c r="B52" s="184" t="s">
        <v>117</v>
      </c>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ht="11.25" customHeight="1">
      <c r="A53" s="184"/>
      <c r="B53" s="184" t="s">
        <v>118</v>
      </c>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ht="11.25" customHeight="1">
      <c r="A54" s="184"/>
      <c r="B54" s="184" t="s">
        <v>119</v>
      </c>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ht="11.25" customHeight="1">
      <c r="A55" s="184"/>
      <c r="B55" s="184" t="s">
        <v>120</v>
      </c>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ht="11.25" customHeight="1">
      <c r="A56" s="184"/>
      <c r="B56" s="184" t="s">
        <v>121</v>
      </c>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ht="11.25" customHeight="1">
      <c r="A57" s="184"/>
      <c r="B57" s="184" t="s">
        <v>122</v>
      </c>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ht="11.25" customHeight="1">
      <c r="A58" s="184"/>
      <c r="B58" s="184" t="s">
        <v>123</v>
      </c>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ht="11.25" customHeight="1">
      <c r="A59" s="184"/>
      <c r="B59" s="184" t="s">
        <v>124</v>
      </c>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ht="11.25" customHeight="1">
      <c r="A60" s="184"/>
      <c r="B60" s="184" t="s">
        <v>125</v>
      </c>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ht="11.25" customHeight="1">
      <c r="A61" s="184"/>
      <c r="B61" s="184" t="s">
        <v>126</v>
      </c>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ht="11.25" customHeight="1">
      <c r="A62" s="184"/>
      <c r="B62" s="184" t="s">
        <v>127</v>
      </c>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ht="11.25" customHeight="1">
      <c r="A63" s="184"/>
      <c r="B63" s="184" t="s">
        <v>128</v>
      </c>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ht="11.25" customHeight="1">
      <c r="A64" s="184"/>
      <c r="B64" s="184" t="s">
        <v>129</v>
      </c>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ht="11.25" customHeight="1">
      <c r="A65" s="184"/>
      <c r="B65" s="184" t="s">
        <v>130</v>
      </c>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ht="11.25" customHeight="1">
      <c r="A66" s="184"/>
      <c r="B66" s="184" t="s">
        <v>131</v>
      </c>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ht="11.25" customHeight="1">
      <c r="A67" s="184"/>
      <c r="B67" s="184" t="s">
        <v>132</v>
      </c>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ht="11.25" customHeight="1">
      <c r="A68" s="184"/>
      <c r="B68" s="184" t="s">
        <v>133</v>
      </c>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ht="11.25" customHeight="1">
      <c r="A69" s="184"/>
      <c r="B69" s="184" t="s">
        <v>134</v>
      </c>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ht="11.25" customHeight="1">
      <c r="A70" s="184"/>
      <c r="B70" s="184" t="s">
        <v>135</v>
      </c>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ht="11.25" customHeight="1">
      <c r="A71" s="184"/>
      <c r="B71" s="184" t="s">
        <v>136</v>
      </c>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ht="11.25" customHeight="1">
      <c r="A72" s="184"/>
      <c r="B72" s="184" t="s">
        <v>137</v>
      </c>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ht="11.25" customHeight="1">
      <c r="A73" s="184"/>
      <c r="B73" s="184" t="s">
        <v>138</v>
      </c>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ht="11.25" customHeight="1">
      <c r="A74" s="184"/>
      <c r="B74" s="184" t="s">
        <v>139</v>
      </c>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ht="11.25" customHeight="1">
      <c r="A75" s="184"/>
      <c r="B75" s="184" t="s">
        <v>140</v>
      </c>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ht="11.25" customHeight="1">
      <c r="A76" s="184"/>
      <c r="B76" s="184" t="s">
        <v>141</v>
      </c>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ht="11.25" customHeight="1">
      <c r="A77" s="184"/>
      <c r="B77" s="184" t="s">
        <v>142</v>
      </c>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ht="11.25" customHeight="1">
      <c r="A78" s="184"/>
      <c r="B78" s="184" t="s">
        <v>143</v>
      </c>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ht="11.25" customHeight="1">
      <c r="A79" s="184"/>
      <c r="B79" s="184" t="s">
        <v>144</v>
      </c>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ht="11.25" customHeight="1">
      <c r="A80" s="184"/>
      <c r="B80" s="184" t="s">
        <v>145</v>
      </c>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ht="11.25" customHeight="1">
      <c r="A81" s="184"/>
      <c r="B81" s="184" t="s">
        <v>146</v>
      </c>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ht="11.25" customHeight="1">
      <c r="A82" s="184"/>
      <c r="B82" s="184" t="s">
        <v>147</v>
      </c>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ht="11.25" customHeight="1">
      <c r="A83" s="184"/>
      <c r="B83" s="184" t="s">
        <v>148</v>
      </c>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ht="11.25" customHeight="1">
      <c r="A84" s="184"/>
      <c r="B84" s="184" t="s">
        <v>149</v>
      </c>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ht="11.25" customHeight="1">
      <c r="A85" s="184"/>
      <c r="B85" s="184" t="s">
        <v>150</v>
      </c>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ht="11.25" customHeight="1">
      <c r="A86" s="184"/>
      <c r="B86" s="184" t="s">
        <v>151</v>
      </c>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ht="11.25" customHeight="1">
      <c r="A87" s="184"/>
      <c r="B87" s="184" t="s">
        <v>152</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ht="11.25" customHeight="1">
      <c r="A88" s="184"/>
      <c r="B88" s="184" t="s">
        <v>153</v>
      </c>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ht="11.25" customHeight="1">
      <c r="A89" s="184"/>
      <c r="B89" s="184" t="s">
        <v>154</v>
      </c>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ht="11.25" customHeight="1">
      <c r="A90" s="184"/>
      <c r="B90" s="184" t="s">
        <v>155</v>
      </c>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ht="11.25" customHeight="1">
      <c r="A91" s="184"/>
      <c r="B91" s="184" t="s">
        <v>156</v>
      </c>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ht="11.25" customHeight="1">
      <c r="A92" s="184"/>
      <c r="B92" s="184" t="s">
        <v>157</v>
      </c>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ht="11.25" customHeight="1">
      <c r="A93" s="184"/>
      <c r="B93" s="184" t="s">
        <v>158</v>
      </c>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ht="11.25" customHeight="1">
      <c r="A94" s="184"/>
      <c r="B94" s="184" t="s">
        <v>159</v>
      </c>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ht="11.25" customHeight="1">
      <c r="A95" s="184"/>
      <c r="B95" s="184" t="s">
        <v>160</v>
      </c>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ht="11.25" customHeight="1">
      <c r="A96" s="184"/>
      <c r="B96" s="184" t="s">
        <v>161</v>
      </c>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ht="11.25" customHeight="1">
      <c r="A97" s="184"/>
      <c r="B97" s="184" t="s">
        <v>162</v>
      </c>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ht="11.25" customHeight="1">
      <c r="A98" s="184"/>
      <c r="B98" s="184" t="s">
        <v>163</v>
      </c>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ht="11.25" customHeight="1">
      <c r="A99" s="184"/>
      <c r="B99" s="184" t="s">
        <v>164</v>
      </c>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ht="11.25" customHeight="1">
      <c r="A100" s="184"/>
      <c r="B100" s="184" t="s">
        <v>165</v>
      </c>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ht="11.25" customHeight="1">
      <c r="A101" s="184"/>
      <c r="B101" s="184" t="s">
        <v>166</v>
      </c>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ht="11.2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ht="11.2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ht="11.2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ht="11.2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ht="11.2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ht="11.2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ht="11.2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ht="11.2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ht="11.2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ht="11.2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ht="11.2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ht="11.2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ht="11.2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ht="11.2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ht="11.2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ht="11.2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ht="11.2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ht="11.2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ht="11.2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ht="11.2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ht="11.2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ht="11.2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ht="11.2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ht="11.2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ht="11.2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ht="11.2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ht="11.2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ht="11.2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ht="11.2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ht="11.2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ht="11.2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ht="11.2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ht="11.2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ht="11.2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ht="11.2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ht="11.2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ht="11.2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ht="11.2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ht="11.2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ht="11.2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ht="11.2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ht="11.2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ht="11.2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ht="11.2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ht="11.2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ht="11.2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ht="11.2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ht="11.2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ht="11.2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ht="11.2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ht="11.2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ht="11.2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ht="11.2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ht="11.2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ht="11.2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ht="11.2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ht="11.2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ht="11.2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ht="11.2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ht="11.2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ht="11.2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ht="11.2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ht="11.2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ht="11.2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ht="11.2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ht="11.2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ht="11.2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ht="11.2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ht="11.2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ht="11.2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ht="11.2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ht="11.2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ht="11.2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ht="11.2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ht="11.2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ht="11.2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ht="11.2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ht="11.2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ht="11.2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ht="11.2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ht="11.2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ht="11.2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ht="11.2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ht="11.2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ht="11.2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ht="11.2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ht="11.2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ht="11.2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ht="11.2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ht="11.2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ht="11.2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ht="11.2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ht="11.2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ht="11.2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ht="11.2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ht="11.2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ht="11.2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ht="11.2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ht="11.2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ht="11.2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ht="11.2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ht="11.2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ht="11.2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ht="11.2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ht="11.2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ht="11.2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ht="11.2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ht="11.2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ht="11.2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ht="11.2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ht="11.2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ht="11.2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ht="11.2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ht="11.2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ht="11.2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ht="11.2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ht="11.2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ht="11.2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ht="11.2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ht="11.25" customHeight="1">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ht="11.25" customHeight="1">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ht="11.25" customHeight="1">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ht="11.25" customHeight="1">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ht="11.25" customHeight="1">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ht="11.25" customHeight="1">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ht="11.25" customHeight="1">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ht="11.25" customHeight="1">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ht="11.25" customHeight="1">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ht="11.25" customHeight="1">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ht="11.25" customHeight="1">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ht="11.25" customHeight="1">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ht="11.25" customHeight="1">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ht="11.25" customHeight="1">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ht="11.25" customHeight="1">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ht="11.25" customHeight="1">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ht="11.25" customHeight="1">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ht="11.25" customHeight="1">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ht="11.25" customHeight="1">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ht="11.25" customHeight="1">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ht="11.25" customHeight="1">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ht="11.25" customHeight="1">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ht="11.25" customHeight="1">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ht="11.25" customHeight="1">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ht="11.25" customHeight="1">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ht="11.25" customHeight="1">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ht="11.25" customHeight="1">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ht="11.25" customHeight="1">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ht="11.25" customHeight="1">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ht="11.25" customHeight="1">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ht="11.25" customHeight="1">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ht="11.25" customHeight="1">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ht="11.25" customHeight="1">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ht="11.25" customHeight="1">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ht="11.25" customHeight="1">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ht="11.25" customHeight="1">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ht="11.25" customHeight="1">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ht="11.25" customHeight="1">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ht="11.25" customHeight="1">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ht="11.25" customHeight="1">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ht="11.25" customHeight="1">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ht="11.25" customHeight="1">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ht="11.25" customHeight="1">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ht="11.25" customHeight="1">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ht="11.25" customHeight="1">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ht="11.25" customHeight="1">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ht="11.25" customHeight="1">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ht="11.25" customHeight="1">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ht="11.25" customHeight="1">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ht="11.25" customHeight="1">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ht="11.25" customHeight="1">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ht="11.25" customHeight="1">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ht="11.25" customHeight="1">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ht="11.25" customHeight="1">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ht="11.25" customHeight="1">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ht="11.25" customHeight="1">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ht="11.25" customHeight="1">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ht="11.25" customHeight="1">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ht="11.25" customHeight="1">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ht="11.25" customHeight="1">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ht="11.25" customHeight="1">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ht="11.25" customHeight="1">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ht="11.25" customHeight="1">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ht="11.25" customHeight="1">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ht="11.25" customHeight="1">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ht="11.25" customHeight="1">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ht="11.25" customHeight="1">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ht="11.25" customHeight="1">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ht="11.25" customHeight="1">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ht="11.25" customHeight="1">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ht="11.25" customHeight="1">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ht="11.25" customHeight="1">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ht="11.25" customHeight="1">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ht="11.25" customHeight="1">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ht="11.25" customHeight="1">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ht="11.25" customHeight="1">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ht="11.25" customHeight="1">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ht="11.25" customHeight="1">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ht="11.25" customHeight="1">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ht="11.25" customHeight="1">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ht="11.25" customHeight="1">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ht="11.25" customHeight="1">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ht="11.25" customHeight="1">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ht="11.25" customHeight="1">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ht="11.25" customHeight="1">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ht="11.25" customHeight="1">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ht="11.25"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ht="11.25" customHeight="1">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ht="11.25" customHeight="1">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ht="11.25" customHeight="1">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ht="11.25" customHeight="1">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ht="11.25" customHeight="1">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ht="11.25" customHeight="1">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ht="11.25" customHeight="1">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ht="11.25"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ht="11.25"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ht="11.25" customHeight="1">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ht="11.25" customHeight="1">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ht="11.25" customHeight="1">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ht="11.25" customHeight="1">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ht="11.25" customHeight="1">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ht="11.25" customHeight="1">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ht="11.25" customHeight="1">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ht="11.25" customHeight="1">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ht="11.25" customHeight="1">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ht="11.25" customHeight="1">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ht="11.25" customHeight="1">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ht="11.25" customHeight="1">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ht="11.25" customHeight="1">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ht="11.25" customHeight="1">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ht="11.25" customHeight="1">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ht="11.25" customHeight="1">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ht="11.25" customHeight="1">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ht="11.25" customHeight="1">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ht="11.25" customHeight="1">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ht="11.25" customHeight="1">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ht="11.25" customHeight="1">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ht="11.25" customHeight="1">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ht="11.25" customHeight="1">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ht="11.25" customHeight="1">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ht="11.25" customHeight="1">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ht="11.25" customHeight="1">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ht="11.25" customHeight="1">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ht="11.25" customHeight="1">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ht="11.25" customHeight="1">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ht="11.25" customHeight="1">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ht="11.25" customHeight="1">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ht="11.25" customHeight="1">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ht="11.25" customHeight="1">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ht="11.25" customHeight="1">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ht="11.25" customHeight="1">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ht="11.25" customHeight="1">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ht="11.25" customHeight="1">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ht="11.25" customHeight="1">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ht="11.25" customHeight="1">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ht="11.25"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ht="11.25"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ht="11.25" customHeight="1">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ht="11.25" customHeight="1">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ht="11.25"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ht="11.25"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ht="11.25" customHeight="1">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ht="11.25" customHeight="1">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ht="11.25" customHeight="1">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ht="11.25" customHeight="1">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ht="11.25" customHeight="1">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ht="11.25" customHeight="1">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ht="11.25"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ht="11.25"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ht="11.25" customHeight="1">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ht="11.25" customHeight="1">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ht="11.25"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ht="11.25"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ht="11.25"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ht="11.25" customHeight="1">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ht="11.25" customHeight="1">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ht="11.25"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ht="11.25"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ht="11.25" customHeight="1">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ht="11.25" customHeight="1">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ht="11.25" customHeight="1">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ht="11.25" customHeight="1">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ht="11.25" customHeight="1">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ht="11.25" customHeight="1">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ht="11.25" customHeight="1">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ht="11.25" customHeight="1">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ht="11.25" customHeight="1">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ht="11.25" customHeight="1">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ht="11.25" customHeight="1">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ht="11.25" customHeight="1">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ht="11.25" customHeight="1">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ht="11.25" customHeight="1">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ht="11.25" customHeight="1">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ht="11.25" customHeight="1">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ht="11.25" customHeight="1">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ht="11.25" customHeight="1">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ht="11.25" customHeight="1">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ht="11.25" customHeight="1">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ht="11.25" customHeight="1">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ht="11.25" customHeight="1">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ht="11.25" customHeight="1">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ht="11.25" customHeight="1">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ht="11.25" customHeight="1">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ht="11.25" customHeight="1">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ht="11.25" customHeight="1">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ht="11.25" customHeight="1">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ht="11.25" customHeight="1">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ht="11.25" customHeight="1">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ht="11.25" customHeight="1">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ht="11.25" customHeight="1">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ht="11.25" customHeight="1">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ht="11.25" customHeight="1">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ht="11.25" customHeight="1">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ht="11.25" customHeight="1">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ht="11.25" customHeight="1">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ht="11.25" customHeight="1">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ht="11.25" customHeight="1">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ht="11.25" customHeight="1">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ht="11.25" customHeight="1">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ht="11.25" customHeight="1">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ht="11.25" customHeight="1">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ht="11.25" customHeight="1">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ht="11.25" customHeight="1">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ht="11.25" customHeight="1">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ht="11.25" customHeight="1">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ht="11.25" customHeight="1">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ht="11.25" customHeight="1">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ht="11.25" customHeight="1">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ht="11.25" customHeight="1">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ht="11.25" customHeight="1">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ht="11.25" customHeight="1">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ht="11.25" customHeight="1">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ht="11.25" customHeight="1">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ht="11.25" customHeight="1">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ht="11.25" customHeight="1">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ht="11.25" customHeight="1">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ht="11.25" customHeight="1">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ht="11.25"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ht="11.25"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ht="11.25"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ht="11.25"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ht="11.25" customHeight="1">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ht="11.25"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ht="11.25" customHeight="1">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ht="11.25" customHeight="1">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ht="11.25"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ht="11.25"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ht="11.25" customHeight="1">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ht="11.25" customHeight="1">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ht="11.25"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ht="11.25" customHeight="1">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ht="11.25" customHeight="1">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ht="11.25" customHeight="1">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ht="11.25" customHeight="1">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ht="11.25" customHeight="1">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ht="11.25" customHeight="1">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ht="11.25" customHeight="1">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ht="11.25" customHeight="1">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ht="11.25" customHeight="1">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ht="11.25" customHeight="1">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ht="11.25" customHeight="1">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ht="11.25" customHeight="1">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ht="11.25" customHeight="1">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ht="11.25"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ht="11.25" customHeight="1">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ht="11.25" customHeight="1">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ht="11.25"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ht="11.25" customHeight="1">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ht="11.25" customHeight="1">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ht="11.25" customHeight="1">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ht="11.25" customHeight="1">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ht="11.25" customHeight="1">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ht="11.25" customHeight="1">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ht="11.25" customHeight="1">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ht="11.25" customHeight="1">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ht="11.25" customHeight="1">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ht="11.25" customHeight="1">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ht="11.25" customHeight="1">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ht="11.25"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ht="11.25"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ht="11.25"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ht="11.25"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ht="11.25"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ht="11.25"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ht="11.25" customHeight="1">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ht="11.25" customHeight="1">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ht="11.25" customHeight="1">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ht="11.25" customHeight="1">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ht="11.25" customHeight="1">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ht="11.25" customHeight="1">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ht="11.25" customHeight="1">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ht="11.25" customHeight="1">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ht="11.25" customHeight="1">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ht="11.25" customHeight="1">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ht="11.25" customHeight="1">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ht="11.25" customHeight="1">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ht="11.25" customHeight="1">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ht="11.25" customHeight="1">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ht="11.25" customHeight="1">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ht="11.25" customHeight="1">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ht="11.25" customHeight="1">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ht="11.25" customHeight="1">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ht="11.25" customHeight="1">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ht="11.25" customHeight="1">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ht="11.25" customHeight="1">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ht="11.25" customHeight="1">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ht="11.25" customHeight="1">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ht="11.25" customHeight="1">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ht="11.25" customHeight="1">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ht="11.25" customHeight="1">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ht="11.25" customHeight="1">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ht="11.25" customHeight="1">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ht="11.25" customHeight="1">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ht="11.25" customHeight="1">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ht="11.25" customHeight="1">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ht="11.25" customHeight="1">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ht="11.25" customHeight="1">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ht="11.25" customHeight="1">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ht="11.25" customHeight="1">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ht="11.25"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ht="11.25" customHeight="1">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ht="11.25" customHeight="1">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ht="11.25"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ht="11.25" customHeight="1">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ht="11.25"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ht="11.25"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ht="11.25" customHeight="1">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ht="11.25"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ht="11.25"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ht="11.25" customHeight="1">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ht="11.25" customHeight="1">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ht="11.25" customHeight="1">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ht="11.25" customHeight="1">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ht="11.25" customHeight="1">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ht="11.25" customHeight="1">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ht="11.25" customHeight="1">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ht="11.25" customHeight="1">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ht="11.25" customHeight="1">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ht="11.25" customHeight="1">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ht="11.25" customHeight="1">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ht="11.25" customHeight="1">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ht="11.25" customHeight="1">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ht="11.25" customHeight="1">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ht="11.25" customHeight="1">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ht="11.25" customHeight="1">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ht="11.25" customHeight="1">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ht="11.25" customHeight="1">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ht="11.25" customHeight="1">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ht="11.25" customHeight="1">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ht="11.25" customHeight="1">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ht="11.25" customHeight="1">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ht="11.25" customHeight="1">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ht="11.25" customHeight="1">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ht="11.25" customHeight="1">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ht="11.25" customHeight="1">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ht="11.25" customHeight="1">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ht="11.25" customHeight="1">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ht="11.25" customHeight="1">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ht="11.25" customHeight="1">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ht="11.25" customHeight="1">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ht="11.25" customHeight="1">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ht="11.25" customHeight="1">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ht="11.25" customHeight="1">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ht="11.25" customHeight="1">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ht="11.25" customHeight="1">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ht="11.25" customHeight="1">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ht="11.25" customHeight="1">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ht="11.25" customHeight="1">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ht="11.25" customHeight="1">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ht="11.25" customHeight="1">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ht="11.25" customHeight="1">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ht="11.25" customHeight="1">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ht="11.25"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ht="11.25" customHeight="1">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ht="11.25" customHeight="1">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ht="11.25"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ht="11.25" customHeight="1">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ht="11.25" customHeight="1">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ht="11.25" customHeight="1">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ht="11.25" customHeight="1">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ht="11.25" customHeight="1">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ht="11.25" customHeight="1">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ht="11.25" customHeight="1">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ht="11.25" customHeight="1">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ht="11.25" customHeight="1">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ht="11.25" customHeight="1">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ht="11.25" customHeight="1">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ht="11.25" customHeight="1">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ht="11.25" customHeight="1">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ht="11.25" customHeight="1">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ht="11.25" customHeight="1">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ht="11.25" customHeight="1">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ht="11.25" customHeight="1">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ht="11.25" customHeight="1">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ht="11.25" customHeight="1">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ht="11.25" customHeight="1">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ht="11.25" customHeight="1">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ht="11.25" customHeight="1">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ht="11.25" customHeight="1">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ht="11.25" customHeight="1">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ht="11.25" customHeight="1">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ht="11.25" customHeight="1">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ht="11.25" customHeight="1">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ht="11.25" customHeight="1">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ht="11.25"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ht="11.25" customHeight="1">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ht="11.25" customHeight="1">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ht="11.25"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ht="11.25" customHeight="1">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ht="11.25" customHeight="1">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ht="11.25" customHeight="1">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ht="11.25" customHeight="1">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ht="11.25" customHeight="1">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ht="11.25" customHeight="1">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ht="11.25" customHeight="1">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ht="11.25" customHeight="1">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ht="11.25" customHeight="1">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ht="11.25" customHeight="1">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ht="11.25"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ht="11.25" customHeight="1">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ht="11.25" customHeight="1">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ht="11.25"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ht="11.25" customHeight="1">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ht="11.25" customHeight="1">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ht="11.25" customHeight="1">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ht="11.25" customHeight="1">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ht="11.25" customHeight="1">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ht="11.25" customHeight="1">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ht="11.25" customHeight="1">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ht="11.25" customHeight="1">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ht="11.25" customHeight="1">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ht="11.25" customHeight="1">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ht="11.25" customHeight="1">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ht="11.25" customHeight="1">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ht="11.25" customHeight="1">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ht="11.25" customHeight="1">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ht="11.25" customHeight="1">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ht="11.25" customHeight="1">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ht="11.25" customHeight="1">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ht="11.25" customHeight="1">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ht="11.25" customHeight="1">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ht="11.25" customHeight="1">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ht="11.25" customHeight="1">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ht="11.25"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ht="11.25"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ht="11.25" customHeight="1">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ht="11.25"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ht="11.25"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ht="11.25" customHeight="1">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ht="11.25" customHeight="1">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ht="11.25" customHeight="1">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ht="11.25" customHeight="1">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ht="11.25" customHeight="1">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ht="11.25" customHeight="1">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ht="11.25" customHeight="1">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ht="11.25" customHeight="1">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ht="11.25" customHeight="1">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ht="11.25" customHeight="1">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ht="11.25" customHeight="1">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ht="11.25" customHeight="1">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ht="11.25" customHeight="1">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ht="11.25" customHeight="1">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ht="11.25" customHeight="1">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ht="11.25" customHeight="1">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ht="11.25" customHeight="1">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ht="11.25" customHeight="1">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ht="11.25" customHeight="1">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ht="11.25" customHeight="1">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ht="11.25" customHeight="1">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ht="11.25" customHeight="1">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ht="11.25" customHeight="1">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ht="11.25" customHeight="1">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ht="11.25" customHeight="1">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ht="11.25"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ht="11.25"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ht="11.25"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ht="11.25"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ht="11.25"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ht="11.25"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ht="11.25"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ht="11.25"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ht="11.25"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ht="11.25"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ht="11.25"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ht="11.25"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ht="11.25"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ht="11.25"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ht="11.25"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ht="11.25"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ht="11.25"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ht="11.25"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ht="11.25"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ht="11.25"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ht="11.25"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ht="11.25"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ht="11.25"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ht="11.25"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ht="11.25"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ht="11.25"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ht="11.25"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ht="11.25"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ht="11.25"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ht="11.25"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ht="11.25"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ht="11.25"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ht="11.25"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ht="11.25"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ht="11.25"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ht="11.25"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ht="11.25"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ht="11.25"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ht="11.25"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ht="11.25"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ht="11.25"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ht="11.25"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ht="11.25"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ht="11.25"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ht="11.25"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ht="11.25"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ht="11.25"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ht="11.25"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ht="11.25"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ht="11.25"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ht="11.25"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ht="11.25"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ht="11.25"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ht="11.25"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ht="11.25"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ht="11.25"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ht="11.25"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ht="11.25"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ht="11.25"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ht="11.25"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ht="11.25"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ht="11.25"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ht="11.25"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ht="11.25"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ht="11.25"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ht="11.25"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ht="11.25"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ht="11.25"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ht="11.25"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ht="11.25"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ht="11.25"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ht="11.25"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ht="11.25"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ht="11.25"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ht="11.25"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ht="11.25"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ht="11.25"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ht="11.25"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ht="11.25"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ht="11.25"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ht="11.25"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ht="11.25"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ht="11.25"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ht="11.25"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ht="11.25"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ht="11.25"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ht="11.25"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ht="11.25"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ht="11.25"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ht="11.25"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ht="11.25"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ht="11.25"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ht="11.25"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ht="11.25"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ht="11.25"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ht="11.25"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ht="11.25"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ht="11.25"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ht="11.25"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ht="11.25"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ht="11.25"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ht="11.25"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ht="11.25"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ht="11.25" customHeight="1">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ht="11.25" customHeight="1">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ht="11.25" customHeight="1">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ht="11.25" customHeight="1">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ht="11.25" customHeight="1">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ht="11.25" customHeight="1">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ht="11.25" customHeight="1">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ht="11.25" customHeight="1">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ht="11.25" customHeight="1">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ht="11.25" customHeight="1">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ht="11.25" customHeight="1">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ht="11.25" customHeight="1">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ht="11.25" customHeight="1">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ht="11.25" customHeight="1">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ht="11.25" customHeight="1">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ht="11.25" customHeight="1">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ht="11.25" customHeight="1">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ht="11.25" customHeight="1">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ht="11.25" customHeight="1">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ht="11.25" customHeight="1">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ht="11.25" customHeight="1">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ht="11.25" customHeight="1">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ht="11.25" customHeight="1">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ht="11.25" customHeight="1">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ht="11.25" customHeight="1">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ht="11.25" customHeight="1">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ht="11.25" customHeight="1">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ht="11.25" customHeight="1">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ht="11.25" customHeight="1">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ht="11.25" customHeight="1">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ht="11.25" customHeight="1">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ht="11.25" customHeight="1">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ht="11.25" customHeight="1">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ht="11.25" customHeight="1">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ht="11.25" customHeight="1">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ht="11.25" customHeight="1">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ht="11.25" customHeight="1">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ht="11.25" customHeight="1">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ht="11.25" customHeight="1">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ht="11.25" customHeight="1">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ht="11.25" customHeight="1">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ht="11.25" customHeight="1">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ht="11.25" customHeight="1">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ht="11.25" customHeight="1">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ht="11.25" customHeight="1">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ht="11.25" customHeight="1">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ht="11.25" customHeight="1">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ht="11.25" customHeight="1">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ht="11.25" customHeight="1">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ht="11.25" customHeight="1">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ht="11.25" customHeight="1">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ht="11.25" customHeight="1">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ht="11.25" customHeight="1">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ht="11.25" customHeight="1">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ht="11.25" customHeight="1">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ht="11.25" customHeight="1">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ht="11.25" customHeight="1">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ht="11.25" customHeight="1">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ht="11.25" customHeight="1">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ht="11.25" customHeight="1">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ht="11.25" customHeight="1">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ht="11.25" customHeight="1">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ht="11.25" customHeight="1">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ht="11.25" customHeight="1">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ht="11.25" customHeight="1">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ht="11.25" customHeight="1">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ht="11.25" customHeight="1">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ht="11.25" customHeight="1">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ht="11.25" customHeight="1">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ht="11.25" customHeight="1">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ht="11.25" customHeight="1">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ht="11.25" customHeight="1">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ht="11.25" customHeight="1">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ht="11.25" customHeight="1">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ht="11.25" customHeight="1">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ht="11.25" customHeight="1">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ht="11.25" customHeight="1">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ht="11.25" customHeight="1">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ht="11.25" customHeight="1">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ht="11.25" customHeight="1">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ht="11.25" customHeight="1">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ht="11.25" customHeight="1">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ht="11.25" customHeight="1">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ht="11.25" customHeight="1">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ht="11.25" customHeight="1">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ht="11.25" customHeight="1">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ht="11.25" customHeight="1">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ht="11.25" customHeight="1">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ht="11.25" customHeight="1">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ht="11.25" customHeight="1">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ht="11.25" customHeight="1">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ht="11.25" customHeight="1">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ht="11.25" customHeight="1">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ht="11.25" customHeight="1">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ht="11.25" customHeight="1">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ht="11.25" customHeight="1">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ht="11.25" customHeight="1">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ht="11.25" customHeight="1">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ht="11.25" customHeight="1">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ht="11.25" customHeight="1">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ht="11.25" customHeight="1">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ht="11.25" customHeight="1">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ht="11.25" customHeight="1">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ht="11.25" customHeight="1">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ht="11.25" customHeight="1">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ht="11.25" customHeight="1">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ht="11.25" customHeight="1">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ht="11.25" customHeight="1">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ht="11.25" customHeight="1">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ht="11.25" customHeight="1">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ht="11.25" customHeight="1">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ht="11.25" customHeight="1">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ht="11.25" customHeight="1">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ht="11.25" customHeight="1">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ht="11.25" customHeight="1">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ht="11.25" customHeight="1">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ht="11.25" customHeight="1">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ht="11.25" customHeight="1">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ht="11.25" customHeight="1">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ht="11.25" customHeight="1">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ht="11.25" customHeight="1">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ht="11.25" customHeight="1">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ht="11.25" customHeight="1">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ht="11.25" customHeight="1">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ht="11.25" customHeight="1">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ht="11.25" customHeight="1">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ht="11.25" customHeight="1">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ht="11.25" customHeight="1">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ht="11.25" customHeight="1">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ht="11.25" customHeight="1">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ht="11.25" customHeight="1">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ht="11.25" customHeight="1">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ht="11.25" customHeight="1">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ht="11.25" customHeight="1">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ht="11.25" customHeight="1">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ht="11.25" customHeight="1">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ht="11.25" customHeight="1">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ht="11.25" customHeight="1">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ht="11.25" customHeight="1">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ht="11.25" customHeight="1">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ht="11.25" customHeight="1">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ht="11.25" customHeight="1">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ht="11.25" customHeight="1">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ht="11.25" customHeight="1">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ht="11.25" customHeight="1">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ht="11.25" customHeight="1">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ht="11.25" customHeight="1">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ht="11.25" customHeight="1">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ht="11.25" customHeight="1">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ht="11.25" customHeight="1">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ht="11.25" customHeight="1">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ht="11.25" customHeight="1">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ht="11.25" customHeight="1">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ht="11.25" customHeight="1">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ht="11.25" customHeight="1">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ht="11.25" customHeight="1">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ht="11.25" customHeight="1">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ht="11.25" customHeight="1">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ht="11.25" customHeight="1">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ht="11.25" customHeight="1">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ht="11.25" customHeight="1">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ht="11.25" customHeight="1">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ht="11.25" customHeight="1">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ht="11.25" customHeight="1">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ht="11.25" customHeight="1">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ht="11.25" customHeight="1">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ht="11.25" customHeight="1">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ht="11.25" customHeight="1">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ht="11.25" customHeight="1">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ht="11.25" customHeight="1">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ht="11.25" customHeight="1">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ht="11.25" customHeight="1">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ht="11.25" customHeight="1">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ht="11.25" customHeight="1">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ht="11.25" customHeight="1">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ht="11.25" customHeight="1">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ht="11.25" customHeight="1">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ht="11.25" customHeight="1">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ht="11.25" customHeight="1">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ht="11.25" customHeight="1">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ht="11.25" customHeight="1">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ht="11.25" customHeight="1">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ht="11.25" customHeight="1">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ht="11.25" customHeight="1">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ht="11.25" customHeight="1">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ht="11.25" customHeight="1">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ht="11.25" customHeight="1">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ht="11.25" customHeight="1">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ht="11.25" customHeight="1">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ht="11.25" customHeight="1">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ht="11.25" customHeight="1">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ht="11.25" customHeight="1">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ht="11.25" customHeight="1">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ht="11.25" customHeight="1">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ht="11.25" customHeight="1">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ht="11.25" customHeight="1">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ht="11.25" customHeight="1">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ht="11.25" customHeight="1">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ht="11.25" customHeight="1">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ht="11.25" customHeight="1">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ht="11.25" customHeight="1">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ht="11.25" customHeight="1">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ht="11.25" customHeight="1">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ht="11.25" customHeight="1">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ht="11.25" customHeight="1">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ht="11.25" customHeight="1">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ht="11.25" customHeight="1">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ht="11.25" customHeight="1">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ht="11.25" customHeight="1">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ht="11.25" customHeight="1">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ht="11.25" customHeight="1">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ht="11.25" customHeight="1">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ht="11.25" customHeight="1">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ht="11.25" customHeight="1">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ht="11.25" customHeight="1">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ht="11.25" customHeight="1">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ht="11.25" customHeight="1">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ht="11.25" customHeight="1">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ht="11.25" customHeight="1">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ht="11.25" customHeight="1">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ht="11.25" customHeight="1">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ht="11.25" customHeight="1">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ht="11.25" customHeight="1">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ht="11.25" customHeight="1">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sheetData>
  <printOptions/>
  <pageMargins bottom="0.75" footer="0.0" header="0.0" left="0.7" right="0.7" top="0.75"/>
  <pageSetup orientation="landscape"/>
  <drawing r:id="rId1"/>
</worksheet>
</file>