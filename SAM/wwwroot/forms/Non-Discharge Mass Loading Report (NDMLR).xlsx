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mc:AlternateContent xmlns:mc="http://schemas.openxmlformats.org/markup-compatibility/2006">
    <mc:Choice Requires="x15">
      <x15ac:absPath xmlns:x15ac="http://schemas.microsoft.com/office/spreadsheetml/2010/11/ac" url="https://ncconnect-my.sharepoint.com/personal/chloe_lloyd_ncdenr_gov/Documents/Reporting Forms/Wastewater and Reclaimed Water Reporting Forms/.xlsx 2007 -/"/>
    </mc:Choice>
  </mc:AlternateContent>
  <xr:revisionPtr revIDLastSave="6" documentId="11_30B98AE7D4C32E0DCC5BCE54D7B76CD854EA6605" xr6:coauthVersionLast="47" xr6:coauthVersionMax="47" xr10:uidLastSave="{57C04E09-E8F7-43E5-BB65-F2387DB0CE3E}"/>
  <bookViews>
    <workbookView xWindow="-120" yWindow="-120" windowWidth="38640" windowHeight="21240" xr2:uid="{00000000-000D-0000-FFFF-FFFF00000000}"/>
  </bookViews>
  <sheets>
    <sheet name="Page 1" sheetId="1" r:id="rId1"/>
    <sheet name="Certification Page" sheetId="9" r:id="rId2"/>
    <sheet name="Formulas" sheetId="7" r:id="rId3"/>
    <sheet name="Dropdown Menu" sheetId="8" state="hidden" r:id="rId4"/>
  </sheets>
  <definedNames>
    <definedName name="County">'Dropdown Menu'!$B$1:$B$101</definedName>
    <definedName name="Flow" localSheetId="1">'Dropdown Menu'!#REF!</definedName>
    <definedName name="Flow">'Dropdown Menu'!#REF!</definedName>
    <definedName name="LOAD">'Dropdown Menu'!$D$1:$D$4</definedName>
    <definedName name="Month">'Dropdown Menu'!$A$1:$A$13</definedName>
    <definedName name="Parameters" localSheetId="1">Formulas!#REF!</definedName>
    <definedName name="Parameters">Formulas!#REF!</definedName>
    <definedName name="PCS" localSheetId="1">Formulas!#REF!</definedName>
    <definedName name="PCS">Formulas!#REF!</definedName>
    <definedName name="PCSCODE" localSheetId="1">Formulas!#REF!</definedName>
    <definedName name="PCSCODE">Formulas!#REF!</definedName>
    <definedName name="PPI" localSheetId="1">'Dropdown Menu'!#REF!</definedName>
    <definedName name="PPI">'Dropdown Menu'!#REF!</definedName>
    <definedName name="_xlnm.Print_Area" localSheetId="1">'Certification Page'!$B$1:$V$19</definedName>
    <definedName name="_xlnm.Print_Area" localSheetId="0">'Page 1'!$B$1:$V$23</definedName>
    <definedName name="SamplingType" localSheetId="1">'Dropdown Menu'!#REF!</definedName>
    <definedName name="SamplingType">'Dropdown Menu'!#REF!</definedName>
    <definedName name="Weather" localSheetId="1">'Dropdown Menu'!#REF!</definedName>
    <definedName name="Weather">'Dropdown Menu'!#REF!</definedName>
    <definedName name="Year">'Dropdown Menu'!$C$1:$C$21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 i="1" l="1"/>
  <c r="P7" i="1"/>
  <c r="L7" i="1"/>
  <c r="H7" i="1"/>
  <c r="V20" i="1" l="1"/>
  <c r="V19" i="1"/>
  <c r="V18" i="1"/>
  <c r="V17" i="1"/>
  <c r="V16" i="1"/>
  <c r="V15" i="1"/>
  <c r="V14" i="1"/>
  <c r="V13" i="1"/>
  <c r="V12" i="1"/>
  <c r="V11" i="1"/>
  <c r="V10" i="1"/>
  <c r="V9" i="1"/>
  <c r="R20" i="1"/>
  <c r="R19" i="1"/>
  <c r="R18" i="1"/>
  <c r="R17" i="1"/>
  <c r="R16" i="1"/>
  <c r="R15" i="1"/>
  <c r="R14" i="1"/>
  <c r="R13" i="1"/>
  <c r="R12" i="1"/>
  <c r="R11" i="1"/>
  <c r="R10" i="1"/>
  <c r="R9" i="1"/>
  <c r="N20" i="1"/>
  <c r="N19" i="1"/>
  <c r="N18" i="1"/>
  <c r="N17" i="1"/>
  <c r="N16" i="1"/>
  <c r="N15" i="1"/>
  <c r="N14" i="1"/>
  <c r="N13" i="1"/>
  <c r="N12" i="1"/>
  <c r="N11" i="1"/>
  <c r="N10" i="1"/>
  <c r="N9" i="1"/>
  <c r="J20" i="1"/>
  <c r="J19" i="1"/>
  <c r="J18" i="1"/>
  <c r="J17" i="1"/>
  <c r="J16" i="1"/>
  <c r="J15" i="1"/>
  <c r="J14" i="1"/>
  <c r="J13" i="1"/>
  <c r="J12" i="1"/>
  <c r="J11" i="1"/>
  <c r="J10" i="1"/>
  <c r="J9" i="1"/>
  <c r="U20" i="1"/>
  <c r="U19" i="1"/>
  <c r="U18" i="1"/>
  <c r="U17" i="1"/>
  <c r="U16" i="1"/>
  <c r="U15" i="1"/>
  <c r="U14" i="1"/>
  <c r="U13" i="1"/>
  <c r="U12" i="1"/>
  <c r="U11" i="1"/>
  <c r="U10" i="1"/>
  <c r="U9" i="1"/>
  <c r="Q20" i="1"/>
  <c r="Q19" i="1"/>
  <c r="Q18" i="1"/>
  <c r="Q17" i="1"/>
  <c r="Q16" i="1"/>
  <c r="Q15" i="1"/>
  <c r="Q14" i="1"/>
  <c r="Q13" i="1"/>
  <c r="Q12" i="1"/>
  <c r="Q11" i="1"/>
  <c r="Q10" i="1"/>
  <c r="Q9" i="1"/>
  <c r="M20" i="1"/>
  <c r="M19" i="1"/>
  <c r="M18" i="1"/>
  <c r="M17" i="1"/>
  <c r="M16" i="1"/>
  <c r="M15" i="1"/>
  <c r="M14" i="1"/>
  <c r="M13" i="1"/>
  <c r="M12" i="1"/>
  <c r="M11" i="1"/>
  <c r="M10" i="1"/>
  <c r="M9" i="1"/>
  <c r="I20" i="1"/>
  <c r="I19" i="1"/>
  <c r="I18" i="1"/>
  <c r="I17" i="1"/>
  <c r="I16" i="1"/>
  <c r="I15" i="1"/>
  <c r="I14" i="1"/>
  <c r="I13" i="1"/>
  <c r="I12" i="1"/>
  <c r="I11" i="1"/>
  <c r="I10" i="1"/>
  <c r="I9" i="1"/>
  <c r="E20" i="1"/>
  <c r="E19" i="1"/>
  <c r="E18" i="1"/>
  <c r="E17" i="1"/>
  <c r="E16" i="1"/>
  <c r="E15" i="1"/>
  <c r="E14" i="1"/>
  <c r="E13" i="1"/>
  <c r="E12" i="1"/>
  <c r="E11" i="1"/>
  <c r="E10" i="1"/>
  <c r="E9" i="1"/>
  <c r="F9" i="1" s="1"/>
  <c r="F13" i="1" l="1"/>
  <c r="F17" i="1"/>
  <c r="F11" i="1"/>
  <c r="F15" i="1"/>
  <c r="F10" i="1"/>
  <c r="F12" i="1"/>
  <c r="F14" i="1"/>
  <c r="F16" i="1"/>
  <c r="F18" i="1"/>
  <c r="F20" i="1"/>
  <c r="F19" i="1"/>
  <c r="Q21" i="1"/>
  <c r="I21" i="1"/>
  <c r="B20" i="1"/>
  <c r="B22" i="1"/>
  <c r="B21" i="1"/>
  <c r="V7" i="1"/>
  <c r="U7" i="1"/>
  <c r="R7" i="1"/>
  <c r="Q7" i="1"/>
  <c r="N7" i="1"/>
  <c r="M7" i="1"/>
  <c r="J7" i="1"/>
  <c r="I7" i="1"/>
  <c r="F7" i="1"/>
  <c r="E7" i="1"/>
  <c r="D7" i="1"/>
  <c r="A20" i="1" l="1"/>
  <c r="A19" i="1" s="1"/>
  <c r="A18" i="1" s="1"/>
  <c r="A17" i="1" s="1"/>
  <c r="A16" i="1" s="1"/>
  <c r="A15" i="1" s="1"/>
  <c r="A14" i="1" s="1"/>
  <c r="A13" i="1" s="1"/>
  <c r="A12" i="1" s="1"/>
  <c r="A11" i="1" s="1"/>
  <c r="A10" i="1" s="1"/>
  <c r="A9" i="1" s="1"/>
  <c r="B9" i="1" s="1"/>
  <c r="E21" i="1"/>
  <c r="M21" i="1"/>
  <c r="U21" i="1"/>
  <c r="C3" i="8"/>
  <c r="C4" i="8" s="1"/>
  <c r="C5" i="8" s="1"/>
  <c r="C6" i="8" s="1"/>
  <c r="C7" i="8" s="1"/>
  <c r="C8" i="8" s="1"/>
  <c r="C9" i="8" s="1"/>
  <c r="C10" i="8" s="1"/>
  <c r="C11" i="8" s="1"/>
  <c r="C12" i="8" s="1"/>
  <c r="C13" i="8" s="1"/>
  <c r="C14" i="8" s="1"/>
  <c r="C15" i="8" s="1"/>
  <c r="C16" i="8" s="1"/>
  <c r="C17" i="8" s="1"/>
  <c r="C18" i="8" s="1"/>
  <c r="C19" i="8" s="1"/>
  <c r="C20" i="8" s="1"/>
  <c r="C21" i="8" s="1"/>
  <c r="B18" i="1" l="1"/>
  <c r="B19" i="1"/>
  <c r="B17" i="1"/>
  <c r="B16" i="1" l="1"/>
  <c r="B15" i="1" l="1"/>
  <c r="B14" i="1" l="1"/>
  <c r="B13" i="1" l="1"/>
  <c r="B12" i="1" l="1"/>
  <c r="B11" i="1" l="1"/>
  <c r="B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Nathaniel Thornburg</author>
  </authors>
  <commentList>
    <comment ref="C7" authorId="0" shapeId="0" xr:uid="{00000000-0006-0000-0000-000001000000}">
      <text>
        <r>
          <rPr>
            <sz val="8"/>
            <color indexed="81"/>
            <rFont val="Tahoma"/>
            <family val="2"/>
          </rPr>
          <t>Volume Applied is the volume of water reported on the NDAR-1 for this field for each particular month.</t>
        </r>
      </text>
    </comment>
    <comment ref="D7" authorId="0" shapeId="0" xr:uid="{00000000-0006-0000-0000-000002000000}">
      <text>
        <r>
          <rPr>
            <sz val="8"/>
            <color indexed="81"/>
            <rFont val="Tahoma"/>
            <family val="2"/>
          </rPr>
          <t>Average Concentration is the average concentration reported on the NDMR for the selected parameter for each particular month.</t>
        </r>
      </text>
    </comment>
    <comment ref="G7" authorId="0" shapeId="0" xr:uid="{00000000-0006-0000-0000-000003000000}">
      <text>
        <r>
          <rPr>
            <sz val="8"/>
            <color indexed="81"/>
            <rFont val="Tahoma"/>
            <family val="2"/>
          </rPr>
          <t>Volume Applied is the volume of water reported on the NDAR-1 for this field for each particular month.</t>
        </r>
      </text>
    </comment>
    <comment ref="H7" authorId="0" shapeId="0" xr:uid="{00000000-0006-0000-0000-000004000000}">
      <text>
        <r>
          <rPr>
            <sz val="8"/>
            <color indexed="81"/>
            <rFont val="Tahoma"/>
            <family val="2"/>
          </rPr>
          <t>Average Concentration is the average concentration reported on the NDMR for the selected parameter for each particular month.</t>
        </r>
      </text>
    </comment>
    <comment ref="K7" authorId="0" shapeId="0" xr:uid="{00000000-0006-0000-0000-000005000000}">
      <text>
        <r>
          <rPr>
            <sz val="8"/>
            <color indexed="81"/>
            <rFont val="Tahoma"/>
            <family val="2"/>
          </rPr>
          <t>Volume Applied is the volume of water reported on the NDAR-1 for this field for each particular month.</t>
        </r>
      </text>
    </comment>
    <comment ref="L7" authorId="0" shapeId="0" xr:uid="{00000000-0006-0000-0000-000006000000}">
      <text>
        <r>
          <rPr>
            <sz val="8"/>
            <color indexed="81"/>
            <rFont val="Tahoma"/>
            <family val="2"/>
          </rPr>
          <t>Average Concentration is the average concentration reported on the NDMR for the selected parameter for each particular month.</t>
        </r>
      </text>
    </comment>
    <comment ref="O7" authorId="0" shapeId="0" xr:uid="{00000000-0006-0000-0000-000007000000}">
      <text>
        <r>
          <rPr>
            <sz val="8"/>
            <color indexed="81"/>
            <rFont val="Tahoma"/>
            <family val="2"/>
          </rPr>
          <t>Volume Applied is the volume of water reported on the NDAR-1 for this field for each particular month.</t>
        </r>
      </text>
    </comment>
    <comment ref="P7" authorId="0" shapeId="0" xr:uid="{00000000-0006-0000-0000-000008000000}">
      <text>
        <r>
          <rPr>
            <sz val="8"/>
            <color indexed="81"/>
            <rFont val="Tahoma"/>
            <family val="2"/>
          </rPr>
          <t>Average Concentration is the average concentration reported on the NDMR for the selected parameter for each particular month.</t>
        </r>
      </text>
    </comment>
    <comment ref="S7" authorId="0" shapeId="0" xr:uid="{00000000-0006-0000-0000-000009000000}">
      <text>
        <r>
          <rPr>
            <sz val="8"/>
            <color indexed="81"/>
            <rFont val="Tahoma"/>
            <family val="2"/>
          </rPr>
          <t>Volume Applied is the volume of water reported on the NDAR-1 for this field for each particular month.</t>
        </r>
      </text>
    </comment>
    <comment ref="T7" authorId="0" shapeId="0" xr:uid="{00000000-0006-0000-0000-00000A00000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<sst xmlns="http://schemas.openxmlformats.org/spreadsheetml/2006/main" count="211" uniqueCount="167">
  <si>
    <t>1617 Mail Service Center</t>
  </si>
  <si>
    <t>Date</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</si>
  <si>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</si>
  <si>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</si>
  <si>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</si>
  <si>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</si>
  <si>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</si>
  <si>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</si>
  <si>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</si>
  <si>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</si>
  <si>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</si>
  <si>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</si>
  <si>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</si>
  <si>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</si>
  <si>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</si>
  <si>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</si>
  <si>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</si>
  <si>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</si>
  <si>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</si>
  <si>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</si>
  <si>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</si>
  <si>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</si>
  <si>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</si>
  <si>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</si>
  <si>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</si>
  <si>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</si>
  <si>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</si>
  <si>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</si>
  <si>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</si>
  <si>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</si>
  <si>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</si>
  <si>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</si>
  <si>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</si>
  <si>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</si>
  <si>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</si>
  <si>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</si>
  <si>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</si>
  <si>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</si>
  <si>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</si>
  <si>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</si>
  <si>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</si>
  <si>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</si>
  <si>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</si>
  <si>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</si>
  <si>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</si>
  <si>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</si>
  <si>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</si>
  <si>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</si>
  <si>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</si>
  <si>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</si>
  <si>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</si>
  <si>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</si>
  <si>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</si>
  <si>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</si>
  <si>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</si>
  <si>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</si>
  <si>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</si>
  <si>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</si>
  <si>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</si>
  <si>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</si>
  <si>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</si>
  <si>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</si>
  <si>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</si>
  <si>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</si>
  <si>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</si>
  <si>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</si>
  <si>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</si>
  <si>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</si>
  <si>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</si>
  <si>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</si>
  <si>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</si>
  <si>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</si>
  <si>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</si>
  <si>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</si>
  <si>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</si>
  <si>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</si>
  <si>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</si>
  <si>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</si>
  <si>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</si>
  <si>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</si>
  <si>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</si>
  <si>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</si>
  <si>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</si>
  <si>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</si>
  <si>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</si>
  <si>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</si>
  <si>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</si>
  <si>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</si>
  <si>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</si>
  <si>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</si>
  <si>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</si>
  <si>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</si>
  <si>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</si>
  <si>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</si>
  <si>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</si>
  <si>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</si>
  <si>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</si>
  <si>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</si>
  <si>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</si>
  <si>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</si>
  <si>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</si>
  <si>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</si>
  <si>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</si>
  <si>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</si>
  <si>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</si>
  <si>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</si>
  <si>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</si>
  <si>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</si>
  <si>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</si>
  <si>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</si>
  <si>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</si>
  <si>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</si>
  <si>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</si>
  <si>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</si>
  <si>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</si>
  <si>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</si>
  <si>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</si>
  <si>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</si>
  <si>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</si>
  <si>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</si>
  <si>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</si>
  <si>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</si>
  <si>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</si>
  <si>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</si>
  <si>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</si>
  <si>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</si>
  <si>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</si>
  <si>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</si>
  <si>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</si>
  <si>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</si>
  <si>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</si>
  <si>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</si>
  <si>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</si>
  <si>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</si>
  <si>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</si>
  <si>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</si>
  <si>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</si>
  <si>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</si>
  <si>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</si>
  <si>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</si>
  <si>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</si>
  <si>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</si>
  <si>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</si>
  <si>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</si>
  <si>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</si>
  <si>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</si>
  <si>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</si>
  <si>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</si>
  <si>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</si>
  <si>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</si>
  <si>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</si>
  <si>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</si>
  <si>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</si>
  <si>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</si>
  <si>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</si>
  <si>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</si>
  <si>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</si>
  <si>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</si>
  <si>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</si>
  <si>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</si>
  <si>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</si>
  <si>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</si>
  <si>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</si>
  <si>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</si>
  <si>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</si>
  <si>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</si>
  <si>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Division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</si>
</sst>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m/d/yy;@"/>
    <numFmt numFmtId="166" formatCode="0.0"/>
  </numFmts>
  <fonts count="18" x14ac:knownFonts="1">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
      <sz val="8"/>
      <color rgb="FF000000"/>
      <name val="Tahoma"/>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1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8"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7" fillId="2" borderId="0" xfId="0" applyFont="1" applyFill="1" applyAlignment="1">
      <alignment horizontal="center" vertical="center"/>
    </xf>
    <xf numFmtId="0" fontId="12" fillId="2" borderId="43" xfId="0" applyFont="1" applyFill="1" applyBorder="1" applyAlignment="1">
      <alignment horizontal="left" vertical="center"/>
    </xf>
    <xf numFmtId="0" fontId="7" fillId="2" borderId="12" xfId="0" applyFont="1" applyFill="1" applyBorder="1" applyAlignment="1">
      <alignment horizontal="center" vertical="center"/>
    </xf>
    <xf numFmtId="0" fontId="7" fillId="2" borderId="56" xfId="0" applyFont="1" applyFill="1" applyBorder="1" applyAlignment="1">
      <alignment horizontal="center" vertical="center"/>
    </xf>
    <xf numFmtId="0" fontId="11" fillId="2" borderId="57" xfId="0" applyFont="1" applyFill="1" applyBorder="1"/>
    <xf numFmtId="0" fontId="7" fillId="2" borderId="0" xfId="0" applyFont="1" applyFill="1" applyBorder="1" applyAlignment="1">
      <alignment horizontal="center" vertical="center"/>
    </xf>
    <xf numFmtId="0" fontId="7" fillId="2" borderId="58" xfId="0" applyFont="1" applyFill="1" applyBorder="1" applyAlignment="1">
      <alignment horizontal="center" vertical="center"/>
    </xf>
    <xf numFmtId="0" fontId="7" fillId="2" borderId="57" xfId="0" applyFont="1" applyFill="1" applyBorder="1" applyAlignment="1">
      <alignment horizontal="center" vertical="center"/>
    </xf>
    <xf numFmtId="0" fontId="7" fillId="2" borderId="59"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41" xfId="0" applyFont="1" applyFill="1" applyBorder="1" applyAlignment="1">
      <alignment horizontal="center" vertical="center"/>
    </xf>
    <xf numFmtId="0" fontId="3" fillId="5" borderId="4" xfId="0" applyFont="1" applyFill="1" applyBorder="1" applyProtection="1"/>
    <xf numFmtId="0" fontId="10" fillId="2" borderId="21" xfId="0" applyFont="1" applyFill="1" applyBorder="1" applyAlignment="1" applyProtection="1">
      <alignment horizontal="center" vertical="center" wrapText="1"/>
    </xf>
    <xf numFmtId="0" fontId="9"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8"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6" fillId="0" borderId="16" xfId="0" applyFont="1" applyBorder="1" applyAlignment="1">
      <alignment horizontal="center" vertical="center"/>
    </xf>
    <xf numFmtId="0" fontId="16"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4" fillId="3" borderId="49" xfId="0" applyFont="1" applyFill="1" applyBorder="1" applyAlignment="1" applyProtection="1">
      <alignment horizontal="right" vertical="center"/>
    </xf>
    <xf numFmtId="0" fontId="0" fillId="0" borderId="1" xfId="0" applyBorder="1" applyAlignment="1" applyProtection="1">
      <alignment horizontal="right" vertical="center"/>
    </xf>
    <xf numFmtId="164" fontId="4" fillId="3" borderId="49" xfId="0" applyNumberFormat="1" applyFont="1" applyFill="1" applyBorder="1" applyAlignment="1" applyProtection="1">
      <alignment horizontal="righ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0" xfId="0" applyBorder="1" applyAlignment="1" applyProtection="1">
      <alignment vertical="center"/>
    </xf>
    <xf numFmtId="0" fontId="0" fillId="0" borderId="31" xfId="0" applyBorder="1" applyAlignment="1" applyProtection="1">
      <alignment horizontal="center" vertical="center"/>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0" fillId="0" borderId="10" xfId="0" applyBorder="1" applyProtection="1">
      <protection locked="0"/>
    </xf>
    <xf numFmtId="0" fontId="3" fillId="2" borderId="5" xfId="0" applyFont="1" applyFill="1" applyBorder="1" applyAlignment="1" applyProtection="1">
      <alignment horizontal="center" vertical="center"/>
      <protection locked="0"/>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0" fontId="3" fillId="2" borderId="35"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4" fillId="2" borderId="21"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4" fillId="2" borderId="32" xfId="0" applyFont="1" applyFill="1" applyBorder="1" applyAlignment="1" applyProtection="1">
      <alignment horizontal="left" vertical="center"/>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alignment horizontal="left" vertical="top" wrapText="1"/>
      <protection locked="0"/>
    </xf>
    <xf numFmtId="0" fontId="0" fillId="0" borderId="30" xfId="0" applyBorder="1" applyAlignment="1" applyProtection="1">
      <alignment horizontal="left" vertical="top" wrapText="1"/>
      <protection locked="0"/>
    </xf>
    <xf numFmtId="0" fontId="0" fillId="0" borderId="31" xfId="0" applyBorder="1" applyAlignment="1" applyProtection="1">
      <alignment horizontal="left" vertical="top" wrapText="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19" xfId="0" applyBorder="1" applyAlignment="1" applyProtection="1">
      <protection locked="0"/>
    </xf>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0" xfId="0"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0" fontId="15" fillId="0" borderId="13" xfId="0" applyFont="1" applyBorder="1" applyAlignment="1">
      <alignment horizontal="center" vertical="center"/>
    </xf>
    <xf numFmtId="0" fontId="15"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5</xdr:row>
          <xdr:rowOff>9525</xdr:rowOff>
        </xdr:from>
        <xdr:to>
          <xdr:col>9</xdr:col>
          <xdr:colOff>123825</xdr:colOff>
          <xdr:row>5</xdr:row>
          <xdr:rowOff>228600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xdr:row>
          <xdr:rowOff>0</xdr:rowOff>
        </xdr:from>
        <xdr:to>
          <xdr:col>10</xdr:col>
          <xdr:colOff>142875</xdr:colOff>
          <xdr:row>6</xdr:row>
          <xdr:rowOff>9525</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9525</xdr:rowOff>
        </xdr:from>
        <xdr:to>
          <xdr:col>17</xdr:col>
          <xdr:colOff>123825</xdr:colOff>
          <xdr:row>5</xdr:row>
          <xdr:rowOff>228600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xdr:colOff>
          <xdr:row>5</xdr:row>
          <xdr:rowOff>0</xdr:rowOff>
        </xdr:from>
        <xdr:to>
          <xdr:col>18</xdr:col>
          <xdr:colOff>152400</xdr:colOff>
          <xdr:row>6</xdr:row>
          <xdr:rowOff>9525</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5</xdr:row>
          <xdr:rowOff>9525</xdr:rowOff>
        </xdr:from>
        <xdr:to>
          <xdr:col>13</xdr:col>
          <xdr:colOff>123825</xdr:colOff>
          <xdr:row>5</xdr:row>
          <xdr:rowOff>228600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5</xdr:row>
          <xdr:rowOff>0</xdr:rowOff>
        </xdr:from>
        <xdr:to>
          <xdr:col>14</xdr:col>
          <xdr:colOff>133350</xdr:colOff>
          <xdr:row>6</xdr:row>
          <xdr:rowOff>9525</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28575</xdr:colOff>
          <xdr:row>5</xdr:row>
          <xdr:rowOff>9525</xdr:rowOff>
        </xdr:from>
        <xdr:to>
          <xdr:col>21</xdr:col>
          <xdr:colOff>123825</xdr:colOff>
          <xdr:row>5</xdr:row>
          <xdr:rowOff>228600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5</xdr:row>
          <xdr:rowOff>0</xdr:rowOff>
        </xdr:from>
        <xdr:to>
          <xdr:col>22</xdr:col>
          <xdr:colOff>133350</xdr:colOff>
          <xdr:row>6</xdr:row>
          <xdr:rowOff>9525</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xdr:row>
          <xdr:rowOff>9525</xdr:rowOff>
        </xdr:from>
        <xdr:to>
          <xdr:col>5</xdr:col>
          <xdr:colOff>133350</xdr:colOff>
          <xdr:row>5</xdr:row>
          <xdr:rowOff>228600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xdr:row>
          <xdr:rowOff>0</xdr:rowOff>
        </xdr:from>
        <xdr:to>
          <xdr:col>6</xdr:col>
          <xdr:colOff>142875</xdr:colOff>
          <xdr:row>6</xdr:row>
          <xdr:rowOff>9525</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276225</xdr:colOff>
          <xdr:row>8</xdr:row>
          <xdr:rowOff>76200</xdr:rowOff>
        </xdr:from>
        <xdr:to>
          <xdr:col>9</xdr:col>
          <xdr:colOff>266700</xdr:colOff>
          <xdr:row>8</xdr:row>
          <xdr:rowOff>295275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219075</xdr:colOff>
          <xdr:row>8</xdr:row>
          <xdr:rowOff>76200</xdr:rowOff>
        </xdr:from>
        <xdr:to>
          <xdr:col>10</xdr:col>
          <xdr:colOff>171450</xdr:colOff>
          <xdr:row>8</xdr:row>
          <xdr:rowOff>295275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0</xdr:row>
          <xdr:rowOff>76200</xdr:rowOff>
        </xdr:from>
        <xdr:to>
          <xdr:col>19</xdr:col>
          <xdr:colOff>323850</xdr:colOff>
          <xdr:row>0</xdr:row>
          <xdr:rowOff>295275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Compliant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0</xdr:row>
          <xdr:rowOff>76200</xdr:rowOff>
        </xdr:from>
        <xdr:to>
          <xdr:col>21</xdr:col>
          <xdr:colOff>457200</xdr:colOff>
          <xdr:row>0</xdr:row>
          <xdr:rowOff>295275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Non-Compliant</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a:extLst>
            <a:ext uri="{FF2B5EF4-FFF2-40B4-BE49-F238E27FC236}">
              <a16:creationId xmlns:a16="http://schemas.microsoft.com/office/drawing/2014/main" id="{00000000-0008-0000-0200-00000508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1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23"/>
  <sheetViews>
    <sheetView tabSelected="1" topLeftCell="B1" zoomScale="80" zoomScaleNormal="80" workbookViewId="0">
      <selection activeCell="C1" sqref="C1:D1"/>
    </sheetView>
  </sheetViews>
  <sheetFormatPr defaultRowHeight="12.75" x14ac:dyDescent="0.2"/>
  <cols>
    <col min="1" max="1" width="9.140625" style="49" hidden="1" customWidth="1"/>
    <col min="2" max="2" width="12.42578125" style="75" bestFit="1" customWidth="1"/>
    <col min="3" max="3" width="9.85546875" style="75"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x14ac:dyDescent="0.25">
      <c r="B1" s="63" t="s">
        <v>148</v>
      </c>
      <c r="C1" s="117"/>
      <c r="D1" s="118"/>
      <c r="E1" s="127" t="s">
        <v>2</v>
      </c>
      <c r="F1" s="128"/>
      <c r="G1" s="119"/>
      <c r="H1" s="120"/>
      <c r="I1" s="120"/>
      <c r="J1" s="120"/>
      <c r="K1" s="120"/>
      <c r="L1" s="121"/>
      <c r="M1" s="122" t="s">
        <v>5</v>
      </c>
      <c r="N1" s="123"/>
      <c r="O1" s="117"/>
      <c r="P1" s="124"/>
      <c r="Q1" s="129" t="s">
        <v>3</v>
      </c>
      <c r="R1" s="123"/>
      <c r="S1" s="125"/>
      <c r="T1" s="126"/>
      <c r="U1" s="74" t="s">
        <v>4</v>
      </c>
      <c r="V1" s="40"/>
      <c r="W1" s="2"/>
    </row>
    <row r="2" spans="1:23" ht="18.75" customHeight="1" x14ac:dyDescent="0.2">
      <c r="B2" s="37"/>
      <c r="C2" s="111" t="s">
        <v>133</v>
      </c>
      <c r="D2" s="112"/>
      <c r="E2" s="113"/>
      <c r="F2" s="114"/>
      <c r="G2" s="115" t="s">
        <v>133</v>
      </c>
      <c r="H2" s="116"/>
      <c r="I2" s="140"/>
      <c r="J2" s="141"/>
      <c r="K2" s="143" t="s">
        <v>133</v>
      </c>
      <c r="L2" s="144"/>
      <c r="M2" s="135"/>
      <c r="N2" s="145"/>
      <c r="O2" s="115" t="s">
        <v>133</v>
      </c>
      <c r="P2" s="116"/>
      <c r="Q2" s="140"/>
      <c r="R2" s="141"/>
      <c r="S2" s="111" t="s">
        <v>133</v>
      </c>
      <c r="T2" s="112"/>
      <c r="U2" s="135"/>
      <c r="V2" s="136"/>
    </row>
    <row r="3" spans="1:23" ht="18.75" customHeight="1" x14ac:dyDescent="0.3">
      <c r="B3" s="38"/>
      <c r="C3" s="103" t="s">
        <v>134</v>
      </c>
      <c r="D3" s="102"/>
      <c r="E3" s="104"/>
      <c r="F3" s="105"/>
      <c r="G3" s="108" t="s">
        <v>134</v>
      </c>
      <c r="H3" s="142"/>
      <c r="I3" s="130"/>
      <c r="J3" s="131"/>
      <c r="K3" s="103" t="s">
        <v>134</v>
      </c>
      <c r="L3" s="102"/>
      <c r="M3" s="132"/>
      <c r="N3" s="133"/>
      <c r="O3" s="108" t="s">
        <v>134</v>
      </c>
      <c r="P3" s="142"/>
      <c r="Q3" s="130"/>
      <c r="R3" s="131"/>
      <c r="S3" s="103" t="s">
        <v>134</v>
      </c>
      <c r="T3" s="102"/>
      <c r="U3" s="132"/>
      <c r="V3" s="137"/>
    </row>
    <row r="4" spans="1:23" ht="18.75" customHeight="1" x14ac:dyDescent="0.3">
      <c r="B4" s="38"/>
      <c r="C4" s="103" t="s">
        <v>135</v>
      </c>
      <c r="D4" s="102"/>
      <c r="E4" s="104"/>
      <c r="F4" s="105"/>
      <c r="G4" s="108" t="s">
        <v>135</v>
      </c>
      <c r="H4" s="109"/>
      <c r="I4" s="130"/>
      <c r="J4" s="131"/>
      <c r="K4" s="103" t="s">
        <v>135</v>
      </c>
      <c r="L4" s="102"/>
      <c r="M4" s="132"/>
      <c r="N4" s="133"/>
      <c r="O4" s="108" t="s">
        <v>135</v>
      </c>
      <c r="P4" s="109"/>
      <c r="Q4" s="130"/>
      <c r="R4" s="131"/>
      <c r="S4" s="103" t="s">
        <v>135</v>
      </c>
      <c r="T4" s="102"/>
      <c r="U4" s="132"/>
      <c r="V4" s="137"/>
    </row>
    <row r="5" spans="1:23" ht="18.75" customHeight="1" x14ac:dyDescent="0.2">
      <c r="B5" s="76"/>
      <c r="C5" s="103" t="s">
        <v>144</v>
      </c>
      <c r="D5" s="102"/>
      <c r="E5" s="104"/>
      <c r="F5" s="105"/>
      <c r="G5" s="108" t="s">
        <v>144</v>
      </c>
      <c r="H5" s="109"/>
      <c r="I5" s="106"/>
      <c r="J5" s="107"/>
      <c r="K5" s="103" t="s">
        <v>144</v>
      </c>
      <c r="L5" s="102"/>
      <c r="M5" s="104"/>
      <c r="N5" s="105"/>
      <c r="O5" s="108" t="s">
        <v>144</v>
      </c>
      <c r="P5" s="109"/>
      <c r="Q5" s="106"/>
      <c r="R5" s="107"/>
      <c r="S5" s="103" t="s">
        <v>144</v>
      </c>
      <c r="T5" s="102"/>
      <c r="U5" s="104"/>
      <c r="V5" s="134"/>
    </row>
    <row r="6" spans="1:23" ht="18.75" customHeight="1" x14ac:dyDescent="0.2">
      <c r="B6" s="39"/>
      <c r="C6" s="101" t="s">
        <v>141</v>
      </c>
      <c r="D6" s="102"/>
      <c r="E6" s="10"/>
      <c r="F6" s="19"/>
      <c r="G6" s="110" t="s">
        <v>141</v>
      </c>
      <c r="H6" s="109"/>
      <c r="I6" s="14"/>
      <c r="J6" s="18"/>
      <c r="K6" s="101" t="s">
        <v>141</v>
      </c>
      <c r="L6" s="102"/>
      <c r="M6" s="10"/>
      <c r="N6" s="19"/>
      <c r="O6" s="110" t="s">
        <v>141</v>
      </c>
      <c r="P6" s="109"/>
      <c r="Q6" s="14"/>
      <c r="R6" s="18"/>
      <c r="S6" s="101" t="s">
        <v>141</v>
      </c>
      <c r="T6" s="102"/>
      <c r="U6" s="10"/>
      <c r="V6" s="20"/>
    </row>
    <row r="7" spans="1:23" ht="82.5" customHeight="1" x14ac:dyDescent="0.2">
      <c r="B7" s="65" t="s">
        <v>1</v>
      </c>
      <c r="C7" s="16" t="s">
        <v>136</v>
      </c>
      <c r="D7" s="6" t="str">
        <f>"Average "&amp;E5&amp;" Concentration"</f>
        <v>Average  Concentration</v>
      </c>
      <c r="E7" s="6" t="str">
        <f>"Monthly "&amp;E5&amp;" Load"</f>
        <v>Monthly  Load</v>
      </c>
      <c r="F7" s="17" t="str">
        <f>"Cumulative "&amp;E5&amp;" Load"</f>
        <v>Cumulative  Load</v>
      </c>
      <c r="G7" s="96" t="s">
        <v>136</v>
      </c>
      <c r="H7" s="7" t="str">
        <f>"Average "&amp;I5&amp;" Concentration"</f>
        <v>Average  Concentration</v>
      </c>
      <c r="I7" s="7" t="str">
        <f>"Monthly "&amp;I5&amp;" Load"</f>
        <v>Monthly  Load</v>
      </c>
      <c r="J7" s="15" t="str">
        <f>"Cumulative "&amp;I5&amp;" Load"</f>
        <v>Cumulative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x14ac:dyDescent="0.25">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x14ac:dyDescent="0.2">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x14ac:dyDescent="0.2">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x14ac:dyDescent="0.2">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x14ac:dyDescent="0.2">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x14ac:dyDescent="0.2">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x14ac:dyDescent="0.2">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x14ac:dyDescent="0.2">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x14ac:dyDescent="0.2">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x14ac:dyDescent="0.2">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x14ac:dyDescent="0.2">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x14ac:dyDescent="0.2">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x14ac:dyDescent="0.25">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x14ac:dyDescent="0.2">
      <c r="B21" s="146" t="str">
        <f>"12 Month Floating "&amp;E5&amp;" Load (lbs/ac/yr):"</f>
        <v>12 Month Floating  Load (lbs/ac/yr):</v>
      </c>
      <c r="C21" s="147"/>
      <c r="D21" s="147"/>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x14ac:dyDescent="0.25">
      <c r="B22" s="138" t="str">
        <f>"Annual "&amp;E5&amp;" Load Limit (lbs/ac/yr):"</f>
        <v>Annual  Load Limit (lbs/ac/yr):</v>
      </c>
      <c r="C22" s="139"/>
      <c r="D22" s="139"/>
      <c r="E22" s="95"/>
      <c r="F22" s="61"/>
      <c r="G22" s="59"/>
      <c r="H22" s="59"/>
      <c r="I22" s="60"/>
      <c r="J22" s="59"/>
      <c r="K22" s="61"/>
      <c r="L22" s="61"/>
      <c r="M22" s="62"/>
      <c r="N22" s="61"/>
      <c r="O22" s="59"/>
      <c r="P22" s="59"/>
      <c r="Q22" s="60"/>
      <c r="R22" s="59"/>
      <c r="S22" s="61"/>
      <c r="T22" s="61"/>
      <c r="U22" s="62"/>
      <c r="V22" s="36"/>
    </row>
    <row r="23" spans="1:22" s="71" customFormat="1" ht="264.75" customHeight="1" x14ac:dyDescent="0.2">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 ref="U2:V2"/>
    <mergeCell ref="S3:T3"/>
    <mergeCell ref="U3:V3"/>
    <mergeCell ref="S4:T4"/>
    <mergeCell ref="U4:V4"/>
    <mergeCell ref="S6:T6"/>
    <mergeCell ref="S5:T5"/>
    <mergeCell ref="U5:V5"/>
    <mergeCell ref="O5:P5"/>
    <mergeCell ref="Q5:R5"/>
    <mergeCell ref="S1:T1"/>
    <mergeCell ref="E1:F1"/>
    <mergeCell ref="Q1:R1"/>
    <mergeCell ref="I4:J4"/>
    <mergeCell ref="K4:L4"/>
    <mergeCell ref="M4:N4"/>
    <mergeCell ref="O4:P4"/>
    <mergeCell ref="Q4:R4"/>
    <mergeCell ref="S2:T2"/>
    <mergeCell ref="C2:D2"/>
    <mergeCell ref="E2:F2"/>
    <mergeCell ref="O2:P2"/>
    <mergeCell ref="C1:D1"/>
    <mergeCell ref="G1:L1"/>
    <mergeCell ref="M1:N1"/>
    <mergeCell ref="O1:P1"/>
    <mergeCell ref="I5:J5"/>
    <mergeCell ref="G4:H4"/>
    <mergeCell ref="G5:H5"/>
    <mergeCell ref="G6:H6"/>
    <mergeCell ref="M5:N5"/>
    <mergeCell ref="C6:D6"/>
    <mergeCell ref="C3:D3"/>
    <mergeCell ref="E3:F3"/>
    <mergeCell ref="C4:D4"/>
    <mergeCell ref="E4:F4"/>
    <mergeCell ref="C5:D5"/>
    <mergeCell ref="E5:F5"/>
  </mergeCells>
  <phoneticPr fontId="0" type="noConversion"/>
  <dataValidations count="5">
    <dataValidation showInputMessage="1" showErrorMessage="1" sqref="S6 C10:C20 O6 K6 G6 C6" xr:uid="{00000000-0002-0000-0000-000000000000}"/>
    <dataValidation type="list" showInputMessage="1" showErrorMessage="1" sqref="O1" xr:uid="{00000000-0002-0000-0000-000001000000}">
      <formula1>County</formula1>
    </dataValidation>
    <dataValidation type="list" showInputMessage="1" showErrorMessage="1" sqref="S1" xr:uid="{00000000-0002-0000-0000-000002000000}">
      <formula1>Month</formula1>
    </dataValidation>
    <dataValidation type="list" showInputMessage="1" showErrorMessage="1" sqref="V1" xr:uid="{00000000-0002-0000-0000-000003000000}">
      <formula1>Year</formula1>
    </dataValidation>
    <dataValidation type="list" showInputMessage="1" showErrorMessage="1" sqref="E5:F5 U5:V5 Q5:R5 M5:N5 I5:J5" xr:uid="{00000000-0002-0000-0000-000004000000}">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199" r:id="rId4" name="Check Box 175">
              <controlPr defaultSize="0" autoFill="0" autoLine="0" autoPict="0">
                <anchor moveWithCells="1">
                  <from>
                    <xdr:col>8</xdr:col>
                    <xdr:colOff>28575</xdr:colOff>
                    <xdr:row>5</xdr:row>
                    <xdr:rowOff>9525</xdr:rowOff>
                  </from>
                  <to>
                    <xdr:col>9</xdr:col>
                    <xdr:colOff>123825</xdr:colOff>
                    <xdr:row>5</xdr:row>
                    <xdr:rowOff>228600</xdr:rowOff>
                  </to>
                </anchor>
              </controlPr>
            </control>
          </mc:Choice>
        </mc:AlternateContent>
        <mc:AlternateContent xmlns:mc="http://schemas.openxmlformats.org/markup-compatibility/2006">
          <mc:Choice Requires="x14">
            <control shapeId="1200" r:id="rId5" name="Check Box 176">
              <controlPr defaultSize="0" autoFill="0" autoLine="0" autoPict="0">
                <anchor moveWithCells="1">
                  <from>
                    <xdr:col>9</xdr:col>
                    <xdr:colOff>47625</xdr:colOff>
                    <xdr:row>5</xdr:row>
                    <xdr:rowOff>0</xdr:rowOff>
                  </from>
                  <to>
                    <xdr:col>10</xdr:col>
                    <xdr:colOff>142875</xdr:colOff>
                    <xdr:row>6</xdr:row>
                    <xdr:rowOff>9525</xdr:rowOff>
                  </to>
                </anchor>
              </controlPr>
            </control>
          </mc:Choice>
        </mc:AlternateContent>
        <mc:AlternateContent xmlns:mc="http://schemas.openxmlformats.org/markup-compatibility/2006">
          <mc:Choice Requires="x14">
            <control shapeId="1201" r:id="rId6" name="Check Box 177">
              <controlPr defaultSize="0" autoFill="0" autoLine="0" autoPict="0">
                <anchor moveWithCells="1">
                  <from>
                    <xdr:col>16</xdr:col>
                    <xdr:colOff>28575</xdr:colOff>
                    <xdr:row>5</xdr:row>
                    <xdr:rowOff>9525</xdr:rowOff>
                  </from>
                  <to>
                    <xdr:col>17</xdr:col>
                    <xdr:colOff>123825</xdr:colOff>
                    <xdr:row>5</xdr:row>
                    <xdr:rowOff>228600</xdr:rowOff>
                  </to>
                </anchor>
              </controlPr>
            </control>
          </mc:Choice>
        </mc:AlternateContent>
        <mc:AlternateContent xmlns:mc="http://schemas.openxmlformats.org/markup-compatibility/2006">
          <mc:Choice Requires="x14">
            <control shapeId="1202" r:id="rId7" name="Check Box 178">
              <controlPr defaultSize="0" autoFill="0" autoLine="0" autoPict="0">
                <anchor moveWithCells="1">
                  <from>
                    <xdr:col>17</xdr:col>
                    <xdr:colOff>57150</xdr:colOff>
                    <xdr:row>5</xdr:row>
                    <xdr:rowOff>0</xdr:rowOff>
                  </from>
                  <to>
                    <xdr:col>18</xdr:col>
                    <xdr:colOff>152400</xdr:colOff>
                    <xdr:row>6</xdr:row>
                    <xdr:rowOff>9525</xdr:rowOff>
                  </to>
                </anchor>
              </controlPr>
            </control>
          </mc:Choice>
        </mc:AlternateContent>
        <mc:AlternateContent xmlns:mc="http://schemas.openxmlformats.org/markup-compatibility/2006">
          <mc:Choice Requires="x14">
            <control shapeId="1203" r:id="rId8" name="Check Box 179">
              <controlPr defaultSize="0" autoFill="0" autoLine="0" autoPict="0">
                <anchor moveWithCells="1">
                  <from>
                    <xdr:col>12</xdr:col>
                    <xdr:colOff>28575</xdr:colOff>
                    <xdr:row>5</xdr:row>
                    <xdr:rowOff>9525</xdr:rowOff>
                  </from>
                  <to>
                    <xdr:col>13</xdr:col>
                    <xdr:colOff>123825</xdr:colOff>
                    <xdr:row>5</xdr:row>
                    <xdr:rowOff>228600</xdr:rowOff>
                  </to>
                </anchor>
              </controlPr>
            </control>
          </mc:Choice>
        </mc:AlternateContent>
        <mc:AlternateContent xmlns:mc="http://schemas.openxmlformats.org/markup-compatibility/2006">
          <mc:Choice Requires="x14">
            <control shapeId="1204" r:id="rId9" name="Check Box 180">
              <controlPr defaultSize="0" autoFill="0" autoLine="0" autoPict="0">
                <anchor moveWithCells="1">
                  <from>
                    <xdr:col>13</xdr:col>
                    <xdr:colOff>38100</xdr:colOff>
                    <xdr:row>5</xdr:row>
                    <xdr:rowOff>0</xdr:rowOff>
                  </from>
                  <to>
                    <xdr:col>14</xdr:col>
                    <xdr:colOff>133350</xdr:colOff>
                    <xdr:row>6</xdr:row>
                    <xdr:rowOff>9525</xdr:rowOff>
                  </to>
                </anchor>
              </controlPr>
            </control>
          </mc:Choice>
        </mc:AlternateContent>
        <mc:AlternateContent xmlns:mc="http://schemas.openxmlformats.org/markup-compatibility/2006">
          <mc:Choice Requires="x14">
            <control shapeId="1205" r:id="rId10" name="Check Box 181">
              <controlPr defaultSize="0" autoFill="0" autoLine="0" autoPict="0">
                <anchor moveWithCells="1">
                  <from>
                    <xdr:col>20</xdr:col>
                    <xdr:colOff>28575</xdr:colOff>
                    <xdr:row>5</xdr:row>
                    <xdr:rowOff>9525</xdr:rowOff>
                  </from>
                  <to>
                    <xdr:col>21</xdr:col>
                    <xdr:colOff>123825</xdr:colOff>
                    <xdr:row>5</xdr:row>
                    <xdr:rowOff>228600</xdr:rowOff>
                  </to>
                </anchor>
              </controlPr>
            </control>
          </mc:Choice>
        </mc:AlternateContent>
        <mc:AlternateContent xmlns:mc="http://schemas.openxmlformats.org/markup-compatibility/2006">
          <mc:Choice Requires="x14">
            <control shapeId="1206" r:id="rId11" name="Check Box 182">
              <controlPr defaultSize="0" autoFill="0" autoLine="0" autoPict="0">
                <anchor moveWithCells="1">
                  <from>
                    <xdr:col>21</xdr:col>
                    <xdr:colOff>38100</xdr:colOff>
                    <xdr:row>5</xdr:row>
                    <xdr:rowOff>0</xdr:rowOff>
                  </from>
                  <to>
                    <xdr:col>22</xdr:col>
                    <xdr:colOff>133350</xdr:colOff>
                    <xdr:row>6</xdr:row>
                    <xdr:rowOff>9525</xdr:rowOff>
                  </to>
                </anchor>
              </controlPr>
            </control>
          </mc:Choice>
        </mc:AlternateContent>
        <mc:AlternateContent xmlns:mc="http://schemas.openxmlformats.org/markup-compatibility/2006">
          <mc:Choice Requires="x14">
            <control shapeId="1217" r:id="rId12" name="Check Box 193">
              <controlPr defaultSize="0" autoFill="0" autoLine="0" autoPict="0">
                <anchor moveWithCells="1">
                  <from>
                    <xdr:col>4</xdr:col>
                    <xdr:colOff>38100</xdr:colOff>
                    <xdr:row>5</xdr:row>
                    <xdr:rowOff>9525</xdr:rowOff>
                  </from>
                  <to>
                    <xdr:col>5</xdr:col>
                    <xdr:colOff>133350</xdr:colOff>
                    <xdr:row>5</xdr:row>
                    <xdr:rowOff>228600</xdr:rowOff>
                  </to>
                </anchor>
              </controlPr>
            </control>
          </mc:Choice>
        </mc:AlternateContent>
        <mc:AlternateContent xmlns:mc="http://schemas.openxmlformats.org/markup-compatibility/2006">
          <mc:Choice Requires="x14">
            <control shapeId="1218" r:id="rId13" name="Check Box 194">
              <controlPr defaultSize="0" autoFill="0" autoLine="0" autoPict="0">
                <anchor moveWithCells="1">
                  <from>
                    <xdr:col>5</xdr:col>
                    <xdr:colOff>47625</xdr:colOff>
                    <xdr:row>5</xdr:row>
                    <xdr:rowOff>0</xdr:rowOff>
                  </from>
                  <to>
                    <xdr:col>6</xdr:col>
                    <xdr:colOff>142875</xdr:colOff>
                    <xdr:row>6</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9"/>
  <sheetViews>
    <sheetView topLeftCell="B1" zoomScale="80" zoomScaleNormal="80" workbookViewId="0">
      <selection activeCell="B3" sqref="B3:V3"/>
    </sheetView>
  </sheetViews>
  <sheetFormatPr defaultRowHeight="12.75" x14ac:dyDescent="0.2"/>
  <cols>
    <col min="1" max="1" width="9.140625" style="49" hidden="1" customWidth="1"/>
    <col min="2" max="2" width="12.42578125" style="100" bestFit="1" customWidth="1"/>
    <col min="3" max="3" width="9.85546875" style="100"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x14ac:dyDescent="0.2">
      <c r="A1" s="49"/>
      <c r="B1" s="157" t="s">
        <v>151</v>
      </c>
      <c r="C1" s="157"/>
      <c r="D1" s="157"/>
      <c r="E1" s="157"/>
      <c r="F1" s="157"/>
      <c r="G1" s="157"/>
      <c r="H1" s="157"/>
      <c r="I1" s="157"/>
      <c r="J1" s="157"/>
      <c r="K1" s="157"/>
      <c r="L1" s="157"/>
      <c r="M1" s="157"/>
      <c r="N1" s="157"/>
      <c r="O1" s="157"/>
      <c r="P1" s="157"/>
      <c r="Q1" s="157"/>
      <c r="R1" s="157"/>
      <c r="S1" s="157"/>
      <c r="T1" s="157"/>
      <c r="U1" s="158"/>
      <c r="V1" s="158"/>
    </row>
    <row r="2" spans="1:22" ht="30" customHeight="1" thickBot="1" x14ac:dyDescent="0.25">
      <c r="B2" s="159" t="s">
        <v>127</v>
      </c>
      <c r="C2" s="160"/>
      <c r="D2" s="160"/>
      <c r="E2" s="160"/>
      <c r="F2" s="160"/>
      <c r="G2" s="160"/>
      <c r="H2" s="160"/>
      <c r="I2" s="160"/>
      <c r="J2" s="160"/>
      <c r="K2" s="160"/>
      <c r="L2" s="160"/>
      <c r="M2" s="160"/>
      <c r="N2" s="160"/>
      <c r="O2" s="160"/>
      <c r="P2" s="160"/>
      <c r="Q2" s="160"/>
      <c r="R2" s="160"/>
      <c r="S2" s="160"/>
      <c r="T2" s="160"/>
      <c r="U2" s="160"/>
      <c r="V2" s="160"/>
    </row>
    <row r="3" spans="1:22" ht="243.75" customHeight="1" thickBot="1" x14ac:dyDescent="0.25">
      <c r="B3" s="161"/>
      <c r="C3" s="162"/>
      <c r="D3" s="162"/>
      <c r="E3" s="162"/>
      <c r="F3" s="162"/>
      <c r="G3" s="162"/>
      <c r="H3" s="162"/>
      <c r="I3" s="162"/>
      <c r="J3" s="162"/>
      <c r="K3" s="162"/>
      <c r="L3" s="162"/>
      <c r="M3" s="162"/>
      <c r="N3" s="162"/>
      <c r="O3" s="162"/>
      <c r="P3" s="162"/>
      <c r="Q3" s="162"/>
      <c r="R3" s="162"/>
      <c r="S3" s="162"/>
      <c r="T3" s="162"/>
      <c r="U3" s="162"/>
      <c r="V3" s="163"/>
    </row>
    <row r="4" spans="1:22" ht="15" customHeight="1" thickBot="1" x14ac:dyDescent="0.25">
      <c r="B4" s="164"/>
      <c r="C4" s="165"/>
      <c r="D4" s="165"/>
      <c r="E4" s="165"/>
      <c r="F4" s="165"/>
      <c r="G4" s="165"/>
      <c r="H4" s="165"/>
      <c r="I4" s="165"/>
      <c r="J4" s="165"/>
      <c r="K4" s="165"/>
      <c r="L4" s="165"/>
      <c r="M4" s="165"/>
      <c r="N4" s="165"/>
      <c r="O4" s="165"/>
      <c r="P4" s="165"/>
      <c r="Q4" s="165"/>
      <c r="R4" s="165"/>
      <c r="S4" s="165"/>
      <c r="T4" s="165"/>
      <c r="U4" s="165"/>
      <c r="V4" s="165"/>
    </row>
    <row r="5" spans="1:22" ht="30.75" customHeight="1" thickBot="1" x14ac:dyDescent="0.25">
      <c r="B5" s="127" t="s">
        <v>7</v>
      </c>
      <c r="C5" s="165"/>
      <c r="D5" s="165"/>
      <c r="E5" s="165"/>
      <c r="F5" s="165"/>
      <c r="G5" s="165"/>
      <c r="H5" s="165"/>
      <c r="I5" s="165"/>
      <c r="J5" s="165"/>
      <c r="K5" s="165"/>
      <c r="L5" s="166"/>
      <c r="M5" s="167" t="s">
        <v>8</v>
      </c>
      <c r="N5" s="165"/>
      <c r="O5" s="165"/>
      <c r="P5" s="165"/>
      <c r="Q5" s="165"/>
      <c r="R5" s="165"/>
      <c r="S5" s="165"/>
      <c r="T5" s="165"/>
      <c r="U5" s="165"/>
      <c r="V5" s="168"/>
    </row>
    <row r="6" spans="1:22" ht="30.75" customHeight="1" x14ac:dyDescent="0.2">
      <c r="B6" s="46" t="s">
        <v>131</v>
      </c>
      <c r="C6" s="169"/>
      <c r="D6" s="170"/>
      <c r="E6" s="170"/>
      <c r="F6" s="170"/>
      <c r="G6" s="170"/>
      <c r="H6" s="170"/>
      <c r="I6" s="170"/>
      <c r="J6" s="170"/>
      <c r="K6" s="170"/>
      <c r="L6" s="171"/>
      <c r="M6" s="172" t="s">
        <v>128</v>
      </c>
      <c r="N6" s="173"/>
      <c r="O6" s="174"/>
      <c r="P6" s="174"/>
      <c r="Q6" s="174"/>
      <c r="R6" s="174"/>
      <c r="S6" s="174"/>
      <c r="T6" s="174"/>
      <c r="U6" s="174"/>
      <c r="V6" s="175"/>
    </row>
    <row r="7" spans="1:22" ht="30.75" customHeight="1" x14ac:dyDescent="0.2">
      <c r="B7" s="148" t="s">
        <v>150</v>
      </c>
      <c r="C7" s="149"/>
      <c r="D7" s="149"/>
      <c r="E7" s="150"/>
      <c r="F7" s="151"/>
      <c r="G7" s="151"/>
      <c r="H7" s="151"/>
      <c r="I7" s="151"/>
      <c r="J7" s="151"/>
      <c r="K7" s="151"/>
      <c r="L7" s="152"/>
      <c r="M7" s="153" t="s">
        <v>129</v>
      </c>
      <c r="N7" s="149"/>
      <c r="O7" s="149"/>
      <c r="P7" s="154"/>
      <c r="Q7" s="155"/>
      <c r="R7" s="155"/>
      <c r="S7" s="155"/>
      <c r="T7" s="155"/>
      <c r="U7" s="155"/>
      <c r="V7" s="156"/>
    </row>
    <row r="8" spans="1:22" ht="30.75" customHeight="1" x14ac:dyDescent="0.2">
      <c r="B8" s="99" t="s">
        <v>132</v>
      </c>
      <c r="C8" s="184"/>
      <c r="D8" s="184"/>
      <c r="E8" s="184"/>
      <c r="F8" s="185" t="s">
        <v>9</v>
      </c>
      <c r="G8" s="149"/>
      <c r="H8" s="149"/>
      <c r="I8" s="150"/>
      <c r="J8" s="177"/>
      <c r="K8" s="177"/>
      <c r="L8" s="178"/>
      <c r="M8" s="153" t="s">
        <v>130</v>
      </c>
      <c r="N8" s="149"/>
      <c r="O8" s="149"/>
      <c r="P8" s="186"/>
      <c r="Q8" s="158"/>
      <c r="R8" s="158"/>
      <c r="S8" s="158"/>
      <c r="T8" s="158"/>
      <c r="U8" s="158"/>
      <c r="V8" s="187"/>
    </row>
    <row r="9" spans="1:22" ht="30.75" customHeight="1" x14ac:dyDescent="0.2">
      <c r="B9" s="176" t="s">
        <v>140</v>
      </c>
      <c r="C9" s="177"/>
      <c r="D9" s="177"/>
      <c r="E9" s="177"/>
      <c r="F9" s="177"/>
      <c r="G9" s="177"/>
      <c r="H9" s="177"/>
      <c r="I9" s="177"/>
      <c r="J9" s="177"/>
      <c r="K9" s="177"/>
      <c r="L9" s="178"/>
      <c r="M9" s="153" t="s">
        <v>149</v>
      </c>
      <c r="N9" s="179"/>
      <c r="O9" s="150"/>
      <c r="P9" s="177"/>
      <c r="Q9" s="177"/>
      <c r="R9" s="180" t="s">
        <v>138</v>
      </c>
      <c r="S9" s="179"/>
      <c r="T9" s="181"/>
      <c r="U9" s="182"/>
      <c r="V9" s="183"/>
    </row>
    <row r="10" spans="1:22" ht="22.5" customHeight="1" x14ac:dyDescent="0.2">
      <c r="B10" s="198"/>
      <c r="C10" s="199"/>
      <c r="D10" s="199"/>
      <c r="E10" s="199"/>
      <c r="F10" s="199"/>
      <c r="G10" s="199"/>
      <c r="H10" s="199"/>
      <c r="I10" s="199"/>
      <c r="J10" s="202"/>
      <c r="K10" s="188"/>
      <c r="L10" s="203"/>
      <c r="M10" s="205"/>
      <c r="N10" s="199"/>
      <c r="O10" s="199"/>
      <c r="P10" s="199"/>
      <c r="Q10" s="199"/>
      <c r="R10" s="199"/>
      <c r="S10" s="199"/>
      <c r="T10" s="202"/>
      <c r="U10" s="188"/>
      <c r="V10" s="189"/>
    </row>
    <row r="11" spans="1:22" ht="22.5" customHeight="1" x14ac:dyDescent="0.2">
      <c r="B11" s="200"/>
      <c r="C11" s="201"/>
      <c r="D11" s="201"/>
      <c r="E11" s="201"/>
      <c r="F11" s="201"/>
      <c r="G11" s="201"/>
      <c r="H11" s="201"/>
      <c r="I11" s="201"/>
      <c r="J11" s="202"/>
      <c r="K11" s="190"/>
      <c r="L11" s="204"/>
      <c r="M11" s="206"/>
      <c r="N11" s="201"/>
      <c r="O11" s="201"/>
      <c r="P11" s="201"/>
      <c r="Q11" s="201"/>
      <c r="R11" s="201"/>
      <c r="S11" s="201"/>
      <c r="T11" s="202"/>
      <c r="U11" s="190"/>
      <c r="V11" s="191"/>
    </row>
    <row r="12" spans="1:22" ht="30" customHeight="1" x14ac:dyDescent="0.2">
      <c r="B12" s="192" t="s">
        <v>10</v>
      </c>
      <c r="C12" s="193"/>
      <c r="D12" s="193"/>
      <c r="E12" s="193"/>
      <c r="F12" s="193"/>
      <c r="G12" s="193"/>
      <c r="H12" s="193"/>
      <c r="I12" s="193"/>
      <c r="J12" s="202"/>
      <c r="K12" s="194" t="s">
        <v>1</v>
      </c>
      <c r="L12" s="195"/>
      <c r="M12" s="196" t="s">
        <v>10</v>
      </c>
      <c r="N12" s="193"/>
      <c r="O12" s="193"/>
      <c r="P12" s="193"/>
      <c r="Q12" s="193"/>
      <c r="R12" s="193"/>
      <c r="S12" s="193"/>
      <c r="T12" s="202"/>
      <c r="U12" s="194" t="s">
        <v>1</v>
      </c>
      <c r="V12" s="197"/>
    </row>
    <row r="13" spans="1:22" ht="68.25" customHeight="1" thickBot="1" x14ac:dyDescent="0.25">
      <c r="B13" s="209" t="s">
        <v>11</v>
      </c>
      <c r="C13" s="210"/>
      <c r="D13" s="210"/>
      <c r="E13" s="210"/>
      <c r="F13" s="210"/>
      <c r="G13" s="210"/>
      <c r="H13" s="210"/>
      <c r="I13" s="210"/>
      <c r="J13" s="210"/>
      <c r="K13" s="210"/>
      <c r="L13" s="211"/>
      <c r="M13" s="212" t="s">
        <v>12</v>
      </c>
      <c r="N13" s="213"/>
      <c r="O13" s="213"/>
      <c r="P13" s="213"/>
      <c r="Q13" s="213"/>
      <c r="R13" s="213"/>
      <c r="S13" s="213"/>
      <c r="T13" s="213"/>
      <c r="U13" s="213"/>
      <c r="V13" s="214"/>
    </row>
    <row r="14" spans="1:22" ht="15" customHeight="1" x14ac:dyDescent="0.2">
      <c r="B14" s="215"/>
      <c r="C14" s="215"/>
      <c r="D14" s="215"/>
      <c r="E14" s="215"/>
      <c r="F14" s="215"/>
      <c r="G14" s="215"/>
      <c r="H14" s="215"/>
      <c r="I14" s="215"/>
      <c r="J14" s="215"/>
      <c r="K14" s="215"/>
      <c r="L14" s="215"/>
      <c r="M14" s="215"/>
      <c r="N14" s="215"/>
      <c r="O14" s="215"/>
      <c r="P14" s="215"/>
      <c r="Q14" s="215"/>
      <c r="R14" s="215"/>
      <c r="S14" s="215"/>
      <c r="T14" s="215"/>
      <c r="U14" s="216"/>
      <c r="V14" s="216"/>
    </row>
    <row r="15" spans="1:22" ht="15" customHeight="1" x14ac:dyDescent="0.2">
      <c r="B15" s="207" t="s">
        <v>14</v>
      </c>
      <c r="C15" s="208"/>
      <c r="D15" s="208"/>
      <c r="E15" s="208"/>
      <c r="F15" s="208"/>
      <c r="G15" s="208"/>
      <c r="H15" s="208"/>
      <c r="I15" s="208"/>
      <c r="J15" s="208"/>
      <c r="K15" s="208"/>
      <c r="L15" s="208"/>
      <c r="M15" s="208"/>
      <c r="N15" s="208"/>
      <c r="O15" s="208"/>
      <c r="P15" s="208"/>
      <c r="Q15" s="208"/>
      <c r="R15" s="208"/>
      <c r="S15" s="208"/>
      <c r="T15" s="208"/>
      <c r="U15" s="199"/>
      <c r="V15" s="199"/>
    </row>
    <row r="16" spans="1:22" ht="15" customHeight="1" x14ac:dyDescent="0.2">
      <c r="B16" s="207" t="s">
        <v>166</v>
      </c>
      <c r="C16" s="208"/>
      <c r="D16" s="208"/>
      <c r="E16" s="208"/>
      <c r="F16" s="208"/>
      <c r="G16" s="208"/>
      <c r="H16" s="208"/>
      <c r="I16" s="208"/>
      <c r="J16" s="208"/>
      <c r="K16" s="208"/>
      <c r="L16" s="208"/>
      <c r="M16" s="208"/>
      <c r="N16" s="208"/>
      <c r="O16" s="208"/>
      <c r="P16" s="208"/>
      <c r="Q16" s="208"/>
      <c r="R16" s="208"/>
      <c r="S16" s="208"/>
      <c r="T16" s="208"/>
      <c r="U16" s="199"/>
      <c r="V16" s="199"/>
    </row>
    <row r="17" spans="2:22" ht="15" customHeight="1" x14ac:dyDescent="0.2">
      <c r="B17" s="207" t="s">
        <v>6</v>
      </c>
      <c r="C17" s="208"/>
      <c r="D17" s="208"/>
      <c r="E17" s="208"/>
      <c r="F17" s="208"/>
      <c r="G17" s="208"/>
      <c r="H17" s="208"/>
      <c r="I17" s="208"/>
      <c r="J17" s="208"/>
      <c r="K17" s="208"/>
      <c r="L17" s="208"/>
      <c r="M17" s="208"/>
      <c r="N17" s="208"/>
      <c r="O17" s="208"/>
      <c r="P17" s="208"/>
      <c r="Q17" s="208"/>
      <c r="R17" s="208"/>
      <c r="S17" s="208"/>
      <c r="T17" s="208"/>
      <c r="U17" s="199"/>
      <c r="V17" s="199"/>
    </row>
    <row r="18" spans="2:22" ht="15" customHeight="1" x14ac:dyDescent="0.2">
      <c r="B18" s="207" t="s">
        <v>0</v>
      </c>
      <c r="C18" s="208"/>
      <c r="D18" s="208"/>
      <c r="E18" s="208"/>
      <c r="F18" s="208"/>
      <c r="G18" s="208"/>
      <c r="H18" s="208"/>
      <c r="I18" s="208"/>
      <c r="J18" s="208"/>
      <c r="K18" s="208"/>
      <c r="L18" s="208"/>
      <c r="M18" s="208"/>
      <c r="N18" s="208"/>
      <c r="O18" s="208"/>
      <c r="P18" s="208"/>
      <c r="Q18" s="208"/>
      <c r="R18" s="208"/>
      <c r="S18" s="208"/>
      <c r="T18" s="208"/>
      <c r="U18" s="199"/>
      <c r="V18" s="199"/>
    </row>
    <row r="19" spans="2:22" ht="15" customHeight="1" x14ac:dyDescent="0.2">
      <c r="B19" s="207" t="s">
        <v>13</v>
      </c>
      <c r="C19" s="208"/>
      <c r="D19" s="208"/>
      <c r="E19" s="208"/>
      <c r="F19" s="208"/>
      <c r="G19" s="208"/>
      <c r="H19" s="208"/>
      <c r="I19" s="208"/>
      <c r="J19" s="208"/>
      <c r="K19" s="208"/>
      <c r="L19" s="208"/>
      <c r="M19" s="208"/>
      <c r="N19" s="208"/>
      <c r="O19" s="208"/>
      <c r="P19" s="208"/>
      <c r="Q19" s="208"/>
      <c r="R19" s="208"/>
      <c r="S19" s="208"/>
      <c r="T19" s="208"/>
      <c r="U19" s="199"/>
      <c r="V19" s="199"/>
    </row>
  </sheetData>
  <sheetProtection password="CD14" sheet="1" objects="1" scenarios="1" selectLockedCells="1"/>
  <mergeCells count="41">
    <mergeCell ref="B18:V18"/>
    <mergeCell ref="B19:V19"/>
    <mergeCell ref="B13:L13"/>
    <mergeCell ref="M13:V13"/>
    <mergeCell ref="B14:V14"/>
    <mergeCell ref="B15:V15"/>
    <mergeCell ref="B16:V16"/>
    <mergeCell ref="B17:V17"/>
    <mergeCell ref="U10:V11"/>
    <mergeCell ref="B12:I12"/>
    <mergeCell ref="K12:L12"/>
    <mergeCell ref="M12:S12"/>
    <mergeCell ref="U12:V12"/>
    <mergeCell ref="B10:I11"/>
    <mergeCell ref="J10:J12"/>
    <mergeCell ref="K10:L11"/>
    <mergeCell ref="M10:S11"/>
    <mergeCell ref="T10:T12"/>
    <mergeCell ref="C8:E8"/>
    <mergeCell ref="F8:H8"/>
    <mergeCell ref="I8:L8"/>
    <mergeCell ref="M8:O8"/>
    <mergeCell ref="P8:V8"/>
    <mergeCell ref="B9:L9"/>
    <mergeCell ref="M9:N9"/>
    <mergeCell ref="O9:Q9"/>
    <mergeCell ref="R9:S9"/>
    <mergeCell ref="T9:V9"/>
    <mergeCell ref="B7:D7"/>
    <mergeCell ref="E7:L7"/>
    <mergeCell ref="M7:O7"/>
    <mergeCell ref="P7:V7"/>
    <mergeCell ref="B1:V1"/>
    <mergeCell ref="B2:V2"/>
    <mergeCell ref="B3:V3"/>
    <mergeCell ref="B4:V4"/>
    <mergeCell ref="B5:L5"/>
    <mergeCell ref="M5:V5"/>
    <mergeCell ref="C6:L6"/>
    <mergeCell ref="M6:N6"/>
    <mergeCell ref="O6:V6"/>
  </mergeCell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8</xdr:col>
                    <xdr:colOff>276225</xdr:colOff>
                    <xdr:row>8</xdr:row>
                    <xdr:rowOff>76200</xdr:rowOff>
                  </from>
                  <to>
                    <xdr:col>9</xdr:col>
                    <xdr:colOff>266700</xdr:colOff>
                    <xdr:row>8</xdr:row>
                    <xdr:rowOff>295275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9</xdr:col>
                    <xdr:colOff>219075</xdr:colOff>
                    <xdr:row>8</xdr:row>
                    <xdr:rowOff>76200</xdr:rowOff>
                  </from>
                  <to>
                    <xdr:col>10</xdr:col>
                    <xdr:colOff>171450</xdr:colOff>
                    <xdr:row>8</xdr:row>
                    <xdr:rowOff>295275</xdr:rowOff>
                  </to>
                </anchor>
              </controlPr>
            </control>
          </mc:Choice>
        </mc:AlternateContent>
        <mc:AlternateContent xmlns:mc="http://schemas.openxmlformats.org/markup-compatibility/2006">
          <mc:Choice Requires="x14">
            <control shapeId="2059" r:id="rId6" name="Check Box 11">
              <controlPr defaultSize="0" autoFill="0" autoLine="0" autoPict="0">
                <anchor moveWithCells="1">
                  <from>
                    <xdr:col>18</xdr:col>
                    <xdr:colOff>123825</xdr:colOff>
                    <xdr:row>0</xdr:row>
                    <xdr:rowOff>76200</xdr:rowOff>
                  </from>
                  <to>
                    <xdr:col>19</xdr:col>
                    <xdr:colOff>323850</xdr:colOff>
                    <xdr:row>0</xdr:row>
                    <xdr:rowOff>295275</xdr:rowOff>
                  </to>
                </anchor>
              </controlPr>
            </control>
          </mc:Choice>
        </mc:AlternateContent>
        <mc:AlternateContent xmlns:mc="http://schemas.openxmlformats.org/markup-compatibility/2006">
          <mc:Choice Requires="x14">
            <control shapeId="2060" r:id="rId7" name="Check Box 12">
              <controlPr defaultSize="0" autoFill="0" autoLine="0" autoPict="0">
                <anchor moveWithCells="1">
                  <from>
                    <xdr:col>19</xdr:col>
                    <xdr:colOff>371475</xdr:colOff>
                    <xdr:row>0</xdr:row>
                    <xdr:rowOff>76200</xdr:rowOff>
                  </from>
                  <to>
                    <xdr:col>21</xdr:col>
                    <xdr:colOff>457200</xdr:colOff>
                    <xdr:row>0</xdr:row>
                    <xdr:rowOff>295275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F15"/>
  <sheetViews>
    <sheetView workbookViewId="0">
      <selection activeCell="E15" sqref="E15"/>
    </sheetView>
  </sheetViews>
  <sheetFormatPr defaultColWidth="22.28515625" defaultRowHeight="13.5" x14ac:dyDescent="0.2"/>
  <cols>
    <col min="1" max="16384" width="22.28515625" style="25"/>
  </cols>
  <sheetData>
    <row r="1" spans="1:6" ht="18" x14ac:dyDescent="0.2">
      <c r="A1" s="26" t="s">
        <v>139</v>
      </c>
      <c r="B1" s="27"/>
      <c r="C1" s="27"/>
      <c r="D1" s="27"/>
      <c r="E1" s="27"/>
      <c r="F1" s="28"/>
    </row>
    <row r="2" spans="1:6" x14ac:dyDescent="0.2">
      <c r="A2"/>
      <c r="B2" s="30"/>
      <c r="C2" s="30"/>
      <c r="D2" s="30"/>
      <c r="E2" s="30"/>
      <c r="F2" s="31"/>
    </row>
    <row r="3" spans="1:6" ht="15" x14ac:dyDescent="0.25">
      <c r="A3" s="29"/>
      <c r="B3" s="30"/>
      <c r="C3" s="30"/>
      <c r="D3" s="30"/>
      <c r="E3" s="30"/>
      <c r="F3" s="31"/>
    </row>
    <row r="4" spans="1:6" x14ac:dyDescent="0.2">
      <c r="A4" s="32"/>
      <c r="B4" s="30"/>
      <c r="C4" s="30"/>
      <c r="D4" s="30"/>
      <c r="E4" s="30"/>
      <c r="F4" s="31"/>
    </row>
    <row r="5" spans="1:6" x14ac:dyDescent="0.2">
      <c r="A5" s="32"/>
      <c r="B5" s="30"/>
      <c r="C5" s="30"/>
      <c r="D5" s="30"/>
      <c r="E5" s="30"/>
      <c r="F5" s="31"/>
    </row>
    <row r="6" spans="1:6" x14ac:dyDescent="0.2">
      <c r="A6" s="32"/>
      <c r="B6" s="30"/>
      <c r="C6" s="30"/>
      <c r="D6" s="30"/>
      <c r="E6" s="30"/>
      <c r="F6" s="31"/>
    </row>
    <row r="7" spans="1:6" x14ac:dyDescent="0.2">
      <c r="A7" s="33"/>
      <c r="B7" s="34"/>
      <c r="C7" s="34"/>
      <c r="D7" s="34"/>
      <c r="E7" s="34"/>
      <c r="F7" s="35"/>
    </row>
    <row r="9" spans="1:6" ht="15.75" thickBot="1" x14ac:dyDescent="0.25">
      <c r="A9" s="217" t="s">
        <v>153</v>
      </c>
      <c r="B9" s="218"/>
    </row>
    <row r="10" spans="1:6" ht="15" x14ac:dyDescent="0.2">
      <c r="A10" s="97" t="s">
        <v>154</v>
      </c>
      <c r="B10" s="97" t="s">
        <v>155</v>
      </c>
    </row>
    <row r="11" spans="1:6" ht="15" x14ac:dyDescent="0.2">
      <c r="A11" s="98" t="s">
        <v>156</v>
      </c>
      <c r="B11" s="98" t="s">
        <v>157</v>
      </c>
    </row>
    <row r="12" spans="1:6" ht="15" x14ac:dyDescent="0.2">
      <c r="A12" s="98" t="s">
        <v>158</v>
      </c>
      <c r="B12" s="98" t="s">
        <v>159</v>
      </c>
    </row>
    <row r="13" spans="1:6" ht="15" x14ac:dyDescent="0.2">
      <c r="A13" s="98" t="s">
        <v>160</v>
      </c>
      <c r="B13" s="98" t="s">
        <v>161</v>
      </c>
    </row>
    <row r="14" spans="1:6" ht="15" x14ac:dyDescent="0.2">
      <c r="A14" s="98" t="s">
        <v>162</v>
      </c>
      <c r="B14" s="98" t="s">
        <v>163</v>
      </c>
    </row>
    <row r="15" spans="1:6" ht="15" x14ac:dyDescent="0.2">
      <c r="A15" s="98" t="s">
        <v>164</v>
      </c>
      <c r="B15" s="98" t="s">
        <v>165</v>
      </c>
    </row>
  </sheetData>
  <mergeCells count="1">
    <mergeCell ref="A9:B9"/>
  </mergeCells>
  <pageMargins left="0.7" right="0.7" top="0.75" bottom="0.75" header="0.3" footer="0.3"/>
  <pageSetup scale="68"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D101"/>
  <sheetViews>
    <sheetView workbookViewId="0"/>
  </sheetViews>
  <sheetFormatPr defaultRowHeight="11.25" x14ac:dyDescent="0.2"/>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x14ac:dyDescent="0.25">
      <c r="A2" s="48" t="s">
        <v>115</v>
      </c>
      <c r="B2" s="4" t="s">
        <v>15</v>
      </c>
      <c r="C2" s="4">
        <v>2011</v>
      </c>
      <c r="D2" s="4" t="s">
        <v>146</v>
      </c>
    </row>
    <row r="3" spans="1:4" x14ac:dyDescent="0.2">
      <c r="A3" s="48" t="s">
        <v>116</v>
      </c>
      <c r="B3" s="4" t="s">
        <v>16</v>
      </c>
      <c r="C3" s="4">
        <f>1+C2</f>
        <v>2012</v>
      </c>
      <c r="D3" s="4" t="s">
        <v>145</v>
      </c>
    </row>
    <row r="4" spans="1:4" x14ac:dyDescent="0.2">
      <c r="A4" s="48" t="s">
        <v>117</v>
      </c>
      <c r="B4" s="4" t="s">
        <v>17</v>
      </c>
      <c r="C4" s="4">
        <f t="shared" ref="C4:C21" si="0">1+C3</f>
        <v>2013</v>
      </c>
      <c r="D4" s="4" t="s">
        <v>147</v>
      </c>
    </row>
    <row r="5" spans="1:4" x14ac:dyDescent="0.2">
      <c r="A5" s="48" t="s">
        <v>118</v>
      </c>
      <c r="B5" s="4" t="s">
        <v>18</v>
      </c>
      <c r="C5" s="4">
        <f t="shared" si="0"/>
        <v>2014</v>
      </c>
    </row>
    <row r="6" spans="1:4" x14ac:dyDescent="0.2">
      <c r="A6" s="48" t="s">
        <v>119</v>
      </c>
      <c r="B6" s="4" t="s">
        <v>19</v>
      </c>
      <c r="C6" s="4">
        <f t="shared" si="0"/>
        <v>2015</v>
      </c>
    </row>
    <row r="7" spans="1:4" x14ac:dyDescent="0.2">
      <c r="A7" s="48" t="s">
        <v>120</v>
      </c>
      <c r="B7" s="4" t="s">
        <v>20</v>
      </c>
      <c r="C7" s="4">
        <f t="shared" si="0"/>
        <v>2016</v>
      </c>
    </row>
    <row r="8" spans="1:4" x14ac:dyDescent="0.2">
      <c r="A8" s="48" t="s">
        <v>121</v>
      </c>
      <c r="B8" s="4" t="s">
        <v>21</v>
      </c>
      <c r="C8" s="4">
        <f t="shared" si="0"/>
        <v>2017</v>
      </c>
    </row>
    <row r="9" spans="1:4" x14ac:dyDescent="0.2">
      <c r="A9" s="48" t="s">
        <v>122</v>
      </c>
      <c r="B9" s="4" t="s">
        <v>22</v>
      </c>
      <c r="C9" s="4">
        <f t="shared" si="0"/>
        <v>2018</v>
      </c>
    </row>
    <row r="10" spans="1:4" x14ac:dyDescent="0.2">
      <c r="A10" s="48" t="s">
        <v>123</v>
      </c>
      <c r="B10" s="4" t="s">
        <v>23</v>
      </c>
      <c r="C10" s="4">
        <f t="shared" si="0"/>
        <v>2019</v>
      </c>
    </row>
    <row r="11" spans="1:4" x14ac:dyDescent="0.2">
      <c r="A11" s="48" t="s">
        <v>124</v>
      </c>
      <c r="B11" s="4" t="s">
        <v>24</v>
      </c>
      <c r="C11" s="4">
        <f t="shared" si="0"/>
        <v>2020</v>
      </c>
    </row>
    <row r="12" spans="1:4" x14ac:dyDescent="0.2">
      <c r="A12" s="48" t="s">
        <v>125</v>
      </c>
      <c r="B12" s="4" t="s">
        <v>25</v>
      </c>
      <c r="C12" s="4">
        <f t="shared" si="0"/>
        <v>2021</v>
      </c>
    </row>
    <row r="13" spans="1:4" x14ac:dyDescent="0.2">
      <c r="A13" s="48" t="s">
        <v>126</v>
      </c>
      <c r="B13" s="4" t="s">
        <v>26</v>
      </c>
      <c r="C13" s="4">
        <f t="shared" si="0"/>
        <v>2022</v>
      </c>
    </row>
    <row r="14" spans="1:4" x14ac:dyDescent="0.2">
      <c r="B14" s="4" t="s">
        <v>27</v>
      </c>
      <c r="C14" s="4">
        <f t="shared" si="0"/>
        <v>2023</v>
      </c>
    </row>
    <row r="15" spans="1:4" x14ac:dyDescent="0.2">
      <c r="B15" s="4" t="s">
        <v>28</v>
      </c>
      <c r="C15" s="4">
        <f t="shared" si="0"/>
        <v>2024</v>
      </c>
    </row>
    <row r="16" spans="1:4" x14ac:dyDescent="0.2">
      <c r="B16" s="4" t="s">
        <v>29</v>
      </c>
      <c r="C16" s="4">
        <f t="shared" si="0"/>
        <v>2025</v>
      </c>
    </row>
    <row r="17" spans="2:3" x14ac:dyDescent="0.2">
      <c r="B17" s="4" t="s">
        <v>30</v>
      </c>
      <c r="C17" s="4">
        <f t="shared" si="0"/>
        <v>2026</v>
      </c>
    </row>
    <row r="18" spans="2:3" x14ac:dyDescent="0.2">
      <c r="B18" s="4" t="s">
        <v>31</v>
      </c>
      <c r="C18" s="4">
        <f t="shared" si="0"/>
        <v>2027</v>
      </c>
    </row>
    <row r="19" spans="2:3" x14ac:dyDescent="0.2">
      <c r="B19" s="4" t="s">
        <v>32</v>
      </c>
      <c r="C19" s="4">
        <f t="shared" si="0"/>
        <v>2028</v>
      </c>
    </row>
    <row r="20" spans="2:3" x14ac:dyDescent="0.2">
      <c r="B20" s="4" t="s">
        <v>33</v>
      </c>
      <c r="C20" s="4">
        <f t="shared" si="0"/>
        <v>2029</v>
      </c>
    </row>
    <row r="21" spans="2:3" x14ac:dyDescent="0.2">
      <c r="B21" s="4" t="s">
        <v>34</v>
      </c>
      <c r="C21" s="4">
        <f t="shared" si="0"/>
        <v>2030</v>
      </c>
    </row>
    <row r="22" spans="2:3" x14ac:dyDescent="0.2">
      <c r="B22" s="4" t="s">
        <v>35</v>
      </c>
    </row>
    <row r="23" spans="2:3" x14ac:dyDescent="0.2">
      <c r="B23" s="4" t="s">
        <v>36</v>
      </c>
    </row>
    <row r="24" spans="2:3" x14ac:dyDescent="0.2">
      <c r="B24" s="4" t="s">
        <v>37</v>
      </c>
    </row>
    <row r="25" spans="2:3" x14ac:dyDescent="0.2">
      <c r="B25" s="4" t="s">
        <v>38</v>
      </c>
    </row>
    <row r="26" spans="2:3" x14ac:dyDescent="0.2">
      <c r="B26" s="4" t="s">
        <v>39</v>
      </c>
    </row>
    <row r="27" spans="2:3" x14ac:dyDescent="0.2">
      <c r="B27" s="4" t="s">
        <v>40</v>
      </c>
    </row>
    <row r="28" spans="2:3" x14ac:dyDescent="0.2">
      <c r="B28" s="4" t="s">
        <v>41</v>
      </c>
    </row>
    <row r="29" spans="2:3" x14ac:dyDescent="0.2">
      <c r="B29" s="4" t="s">
        <v>42</v>
      </c>
    </row>
    <row r="30" spans="2:3" x14ac:dyDescent="0.2">
      <c r="B30" s="4" t="s">
        <v>43</v>
      </c>
    </row>
    <row r="31" spans="2:3" x14ac:dyDescent="0.2">
      <c r="B31" s="4" t="s">
        <v>44</v>
      </c>
    </row>
    <row r="32" spans="2:3" x14ac:dyDescent="0.2">
      <c r="B32" s="4" t="s">
        <v>45</v>
      </c>
    </row>
    <row r="33" spans="2:2" x14ac:dyDescent="0.2">
      <c r="B33" s="4" t="s">
        <v>46</v>
      </c>
    </row>
    <row r="34" spans="2:2" x14ac:dyDescent="0.2">
      <c r="B34" s="4" t="s">
        <v>47</v>
      </c>
    </row>
    <row r="35" spans="2:2" x14ac:dyDescent="0.2">
      <c r="B35" s="4" t="s">
        <v>48</v>
      </c>
    </row>
    <row r="36" spans="2:2" x14ac:dyDescent="0.2">
      <c r="B36" s="4" t="s">
        <v>49</v>
      </c>
    </row>
    <row r="37" spans="2:2" x14ac:dyDescent="0.2">
      <c r="B37" s="4" t="s">
        <v>50</v>
      </c>
    </row>
    <row r="38" spans="2:2" x14ac:dyDescent="0.2">
      <c r="B38" s="4" t="s">
        <v>51</v>
      </c>
    </row>
    <row r="39" spans="2:2" x14ac:dyDescent="0.2">
      <c r="B39" s="4" t="s">
        <v>52</v>
      </c>
    </row>
    <row r="40" spans="2:2" x14ac:dyDescent="0.2">
      <c r="B40" s="4" t="s">
        <v>53</v>
      </c>
    </row>
    <row r="41" spans="2:2" x14ac:dyDescent="0.2">
      <c r="B41" s="4" t="s">
        <v>54</v>
      </c>
    </row>
    <row r="42" spans="2:2" x14ac:dyDescent="0.2">
      <c r="B42" s="4" t="s">
        <v>55</v>
      </c>
    </row>
    <row r="43" spans="2:2" x14ac:dyDescent="0.2">
      <c r="B43" s="4" t="s">
        <v>56</v>
      </c>
    </row>
    <row r="44" spans="2:2" x14ac:dyDescent="0.2">
      <c r="B44" s="4" t="s">
        <v>57</v>
      </c>
    </row>
    <row r="45" spans="2:2" x14ac:dyDescent="0.2">
      <c r="B45" s="4" t="s">
        <v>58</v>
      </c>
    </row>
    <row r="46" spans="2:2" x14ac:dyDescent="0.2">
      <c r="B46" s="4" t="s">
        <v>59</v>
      </c>
    </row>
    <row r="47" spans="2:2" x14ac:dyDescent="0.2">
      <c r="B47" s="4" t="s">
        <v>60</v>
      </c>
    </row>
    <row r="48" spans="2:2" x14ac:dyDescent="0.2">
      <c r="B48" s="4" t="s">
        <v>61</v>
      </c>
    </row>
    <row r="49" spans="2:2" x14ac:dyDescent="0.2">
      <c r="B49" s="4" t="s">
        <v>62</v>
      </c>
    </row>
    <row r="50" spans="2:2" x14ac:dyDescent="0.2">
      <c r="B50" s="4" t="s">
        <v>63</v>
      </c>
    </row>
    <row r="51" spans="2:2" x14ac:dyDescent="0.2">
      <c r="B51" s="4" t="s">
        <v>64</v>
      </c>
    </row>
    <row r="52" spans="2:2" x14ac:dyDescent="0.2">
      <c r="B52" s="4" t="s">
        <v>65</v>
      </c>
    </row>
    <row r="53" spans="2:2" x14ac:dyDescent="0.2">
      <c r="B53" s="4" t="s">
        <v>66</v>
      </c>
    </row>
    <row r="54" spans="2:2" x14ac:dyDescent="0.2">
      <c r="B54" s="4" t="s">
        <v>67</v>
      </c>
    </row>
    <row r="55" spans="2:2" x14ac:dyDescent="0.2">
      <c r="B55" s="4" t="s">
        <v>68</v>
      </c>
    </row>
    <row r="56" spans="2:2" x14ac:dyDescent="0.2">
      <c r="B56" s="4" t="s">
        <v>69</v>
      </c>
    </row>
    <row r="57" spans="2:2" x14ac:dyDescent="0.2">
      <c r="B57" s="4" t="s">
        <v>70</v>
      </c>
    </row>
    <row r="58" spans="2:2" x14ac:dyDescent="0.2">
      <c r="B58" s="4" t="s">
        <v>71</v>
      </c>
    </row>
    <row r="59" spans="2:2" x14ac:dyDescent="0.2">
      <c r="B59" s="4" t="s">
        <v>72</v>
      </c>
    </row>
    <row r="60" spans="2:2" x14ac:dyDescent="0.2">
      <c r="B60" s="4" t="s">
        <v>73</v>
      </c>
    </row>
    <row r="61" spans="2:2" x14ac:dyDescent="0.2">
      <c r="B61" s="4" t="s">
        <v>74</v>
      </c>
    </row>
    <row r="62" spans="2:2" x14ac:dyDescent="0.2">
      <c r="B62" s="4" t="s">
        <v>75</v>
      </c>
    </row>
    <row r="63" spans="2:2" x14ac:dyDescent="0.2">
      <c r="B63" s="4" t="s">
        <v>76</v>
      </c>
    </row>
    <row r="64" spans="2:2" x14ac:dyDescent="0.2">
      <c r="B64" s="4" t="s">
        <v>77</v>
      </c>
    </row>
    <row r="65" spans="2:2" x14ac:dyDescent="0.2">
      <c r="B65" s="4" t="s">
        <v>78</v>
      </c>
    </row>
    <row r="66" spans="2:2" x14ac:dyDescent="0.2">
      <c r="B66" s="4" t="s">
        <v>79</v>
      </c>
    </row>
    <row r="67" spans="2:2" x14ac:dyDescent="0.2">
      <c r="B67" s="4" t="s">
        <v>80</v>
      </c>
    </row>
    <row r="68" spans="2:2" x14ac:dyDescent="0.2">
      <c r="B68" s="4" t="s">
        <v>81</v>
      </c>
    </row>
    <row r="69" spans="2:2" x14ac:dyDescent="0.2">
      <c r="B69" s="4" t="s">
        <v>82</v>
      </c>
    </row>
    <row r="70" spans="2:2" x14ac:dyDescent="0.2">
      <c r="B70" s="4" t="s">
        <v>83</v>
      </c>
    </row>
    <row r="71" spans="2:2" x14ac:dyDescent="0.2">
      <c r="B71" s="4" t="s">
        <v>84</v>
      </c>
    </row>
    <row r="72" spans="2:2" x14ac:dyDescent="0.2">
      <c r="B72" s="4" t="s">
        <v>85</v>
      </c>
    </row>
    <row r="73" spans="2:2" x14ac:dyDescent="0.2">
      <c r="B73" s="4" t="s">
        <v>86</v>
      </c>
    </row>
    <row r="74" spans="2:2" x14ac:dyDescent="0.2">
      <c r="B74" s="4" t="s">
        <v>87</v>
      </c>
    </row>
    <row r="75" spans="2:2" x14ac:dyDescent="0.2">
      <c r="B75" s="4" t="s">
        <v>88</v>
      </c>
    </row>
    <row r="76" spans="2:2" x14ac:dyDescent="0.2">
      <c r="B76" s="4" t="s">
        <v>89</v>
      </c>
    </row>
    <row r="77" spans="2:2" x14ac:dyDescent="0.2">
      <c r="B77" s="4" t="s">
        <v>90</v>
      </c>
    </row>
    <row r="78" spans="2:2" x14ac:dyDescent="0.2">
      <c r="B78" s="4" t="s">
        <v>91</v>
      </c>
    </row>
    <row r="79" spans="2:2" x14ac:dyDescent="0.2">
      <c r="B79" s="4" t="s">
        <v>92</v>
      </c>
    </row>
    <row r="80" spans="2:2" x14ac:dyDescent="0.2">
      <c r="B80" s="4" t="s">
        <v>93</v>
      </c>
    </row>
    <row r="81" spans="2:2" x14ac:dyDescent="0.2">
      <c r="B81" s="4" t="s">
        <v>94</v>
      </c>
    </row>
    <row r="82" spans="2:2" x14ac:dyDescent="0.2">
      <c r="B82" s="4" t="s">
        <v>95</v>
      </c>
    </row>
    <row r="83" spans="2:2" x14ac:dyDescent="0.2">
      <c r="B83" s="4" t="s">
        <v>96</v>
      </c>
    </row>
    <row r="84" spans="2:2" x14ac:dyDescent="0.2">
      <c r="B84" s="4" t="s">
        <v>97</v>
      </c>
    </row>
    <row r="85" spans="2:2" x14ac:dyDescent="0.2">
      <c r="B85" s="4" t="s">
        <v>98</v>
      </c>
    </row>
    <row r="86" spans="2:2" x14ac:dyDescent="0.2">
      <c r="B86" s="4" t="s">
        <v>99</v>
      </c>
    </row>
    <row r="87" spans="2:2" x14ac:dyDescent="0.2">
      <c r="B87" s="4" t="s">
        <v>100</v>
      </c>
    </row>
    <row r="88" spans="2:2" x14ac:dyDescent="0.2">
      <c r="B88" s="4" t="s">
        <v>101</v>
      </c>
    </row>
    <row r="89" spans="2:2" x14ac:dyDescent="0.2">
      <c r="B89" s="4" t="s">
        <v>102</v>
      </c>
    </row>
    <row r="90" spans="2:2" x14ac:dyDescent="0.2">
      <c r="B90" s="4" t="s">
        <v>103</v>
      </c>
    </row>
    <row r="91" spans="2:2" x14ac:dyDescent="0.2">
      <c r="B91" s="4" t="s">
        <v>104</v>
      </c>
    </row>
    <row r="92" spans="2:2" x14ac:dyDescent="0.2">
      <c r="B92" s="4" t="s">
        <v>105</v>
      </c>
    </row>
    <row r="93" spans="2:2" x14ac:dyDescent="0.2">
      <c r="B93" s="4" t="s">
        <v>106</v>
      </c>
    </row>
    <row r="94" spans="2:2" x14ac:dyDescent="0.2">
      <c r="B94" s="4" t="s">
        <v>107</v>
      </c>
    </row>
    <row r="95" spans="2:2" x14ac:dyDescent="0.2">
      <c r="B95" s="4" t="s">
        <v>108</v>
      </c>
    </row>
    <row r="96" spans="2:2" x14ac:dyDescent="0.2">
      <c r="B96" s="4" t="s">
        <v>109</v>
      </c>
    </row>
    <row r="97" spans="2:2" x14ac:dyDescent="0.2">
      <c r="B97" s="4" t="s">
        <v>110</v>
      </c>
    </row>
    <row r="98" spans="2:2" x14ac:dyDescent="0.2">
      <c r="B98" s="4" t="s">
        <v>111</v>
      </c>
    </row>
    <row r="99" spans="2:2" x14ac:dyDescent="0.2">
      <c r="B99" s="4" t="s">
        <v>112</v>
      </c>
    </row>
    <row r="100" spans="2:2" x14ac:dyDescent="0.2">
      <c r="B100" s="4" t="s">
        <v>113</v>
      </c>
    </row>
    <row r="101" spans="2:2" x14ac:dyDescent="0.2">
      <c r="B101" s="4"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D186843DF82C488DD5DCB115B5CB79" ma:contentTypeVersion="14" ma:contentTypeDescription="Create a new document." ma:contentTypeScope="" ma:versionID="79dabe216593fae1323b8fc3cd33f401">
  <xsd:schema xmlns:xsd="http://www.w3.org/2001/XMLSchema" xmlns:xs="http://www.w3.org/2001/XMLSchema" xmlns:p="http://schemas.microsoft.com/office/2006/metadata/properties" xmlns:ns1="http://schemas.microsoft.com/sharepoint/v3" xmlns:ns2="fc6f6cf5-ff34-441f-8d5b-a0231be517b4" xmlns:ns3="73ad5fed-5707-4707-ae54-2603e8bcafdd" targetNamespace="http://schemas.microsoft.com/office/2006/metadata/properties" ma:root="true" ma:fieldsID="2cf1faae664718e7a73095462f1eff71" ns1:_="" ns2:_="" ns3:_="">
    <xsd:import namespace="http://schemas.microsoft.com/sharepoint/v3"/>
    <xsd:import namespace="fc6f6cf5-ff34-441f-8d5b-a0231be517b4"/>
    <xsd:import namespace="73ad5fed-5707-4707-ae54-2603e8bcafd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1:_ip_UnifiedCompliancePolicyProperties" minOccurs="0"/>
                <xsd:element ref="ns1:_ip_UnifiedCompliancePolicyUIAction" minOccurs="0"/>
                <xsd:element ref="ns2:MediaServiceLocation"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6f6cf5-ff34-441f-8d5b-a0231be517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ad5fed-5707-4707-ae54-2603e8bcafd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887EA2F-E216-4CB4-8227-D529F5F795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c6f6cf5-ff34-441f-8d5b-a0231be517b4"/>
    <ds:schemaRef ds:uri="73ad5fed-5707-4707-ae54-2603e8bcaf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8EA68B-1535-4530-857F-C532440F9744}">
  <ds:schemaRefs>
    <ds:schemaRef ds:uri="http://schemas.microsoft.com/sharepoint/v3/contenttype/forms"/>
  </ds:schemaRefs>
</ds:datastoreItem>
</file>

<file path=customXml/itemProps3.xml><?xml version="1.0" encoding="utf-8"?>
<ds:datastoreItem xmlns:ds="http://schemas.openxmlformats.org/officeDocument/2006/customXml" ds:itemID="{02CF0940-D67E-4514-A2C6-C65CAE2866B5}">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vt:lpstr>
      <vt:lpstr>Dropdown Menu</vt:lpstr>
      <vt:lpstr>County</vt:lpstr>
      <vt:lpstr>LOAD</vt:lpstr>
      <vt:lpstr>Month</vt:lpstr>
      <vt:lpstr>'Certification Page'!Print_Area</vt:lpstr>
      <vt:lpstr>'Page 1'!Print_Area</vt:lpstr>
      <vt:lpstr>Year</vt:lpstr>
    </vt:vector>
  </TitlesOfParts>
  <Company>NCDENR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Lloyd, Chloe D</cp:lastModifiedBy>
  <cp:lastPrinted>2013-10-14T16:13:43Z</cp:lastPrinted>
  <dcterms:created xsi:type="dcterms:W3CDTF">2003-04-30T19:20:22Z</dcterms:created>
  <dcterms:modified xsi:type="dcterms:W3CDTF">2021-11-23T18:46:09Z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0x01010079D186843DF82C488DD5DCB115B5CB79</vt:lpwstr>
  </property>
</Properties>
</file>